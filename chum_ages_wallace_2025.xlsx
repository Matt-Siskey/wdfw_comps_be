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beata_dymowska_dfw_wa_gov/Documents/Beata/Documents/Beata/HATCHERIES/Wallace/Chum/Chum data/"/>
    </mc:Choice>
  </mc:AlternateContent>
  <xr:revisionPtr revIDLastSave="0" documentId="8_{E5854B03-5832-434F-8854-4E5C48B97262}" xr6:coauthVersionLast="47" xr6:coauthVersionMax="47" xr10:uidLastSave="{00000000-0000-0000-0000-000000000000}"/>
  <bookViews>
    <workbookView xWindow="28680" yWindow="-120" windowWidth="29040" windowHeight="15720" xr2:uid="{02294A95-8CA8-4D53-9EC9-781F8E5CAE73}"/>
  </bookViews>
  <sheets>
    <sheet name="2025 chum data" sheetId="1" r:id="rId1"/>
    <sheet name="pivot" sheetId="2" r:id="rId2"/>
  </sheets>
  <calcPr calcId="191029"/>
  <pivotCaches>
    <pivotCache cacheId="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3" i="2"/>
</calcChain>
</file>

<file path=xl/sharedStrings.xml><?xml version="1.0" encoding="utf-8"?>
<sst xmlns="http://schemas.openxmlformats.org/spreadsheetml/2006/main" count="1978" uniqueCount="245">
  <si>
    <t>Date</t>
  </si>
  <si>
    <t>Species</t>
  </si>
  <si>
    <t>Run</t>
  </si>
  <si>
    <t>Mark</t>
  </si>
  <si>
    <t>Fork Length</t>
  </si>
  <si>
    <t>Sex</t>
  </si>
  <si>
    <t>disposition</t>
  </si>
  <si>
    <t>Scale Card Number</t>
  </si>
  <si>
    <t>Scale Card Position</t>
  </si>
  <si>
    <t>DNA Code</t>
  </si>
  <si>
    <t>DNA Card Position</t>
  </si>
  <si>
    <t>DNA Sample Number</t>
  </si>
  <si>
    <t>Otolith Code</t>
  </si>
  <si>
    <t># Otos</t>
  </si>
  <si>
    <t>Source</t>
  </si>
  <si>
    <t>Fish Notes</t>
  </si>
  <si>
    <t>spawned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</si>
  <si>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</si>
  <si>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</si>
  <si>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</si>
  <si>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</si>
  <si>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</si>
  <si>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</si>
  <si>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</si>
  <si>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</si>
  <si>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</si>
  <si>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</si>
  <si>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</si>
  <si>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</si>
  <si>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</si>
  <si>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</si>
  <si>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</si>
  <si>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</si>
  <si>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</si>
  <si>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</si>
  <si>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</si>
  <si>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</si>
  <si>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</si>
  <si>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</si>
  <si>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</si>
  <si>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NVF</t>
  </si>
  <si>
    <t>D6</t>
  </si>
  <si>
    <t>E1</t>
  </si>
  <si>
    <t>E2</t>
  </si>
  <si>
    <t>E3</t>
  </si>
  <si>
    <t>E4</t>
  </si>
  <si>
    <t>E5</t>
  </si>
  <si>
    <t>E6</t>
  </si>
  <si>
    <t>mortality</t>
  </si>
  <si>
    <t>surplus</t>
  </si>
  <si>
    <t>Scale Age</t>
  </si>
  <si>
    <t>Scale total age</t>
  </si>
  <si>
    <t>DNA Results</t>
  </si>
  <si>
    <t>OT age</t>
  </si>
  <si>
    <t>OT lab log #</t>
  </si>
  <si>
    <t>Thermal mark status</t>
  </si>
  <si>
    <t>Hatchery origin</t>
  </si>
  <si>
    <t>Brood Year</t>
  </si>
  <si>
    <t xml:space="preserve">Alternative origin </t>
  </si>
  <si>
    <t>Alternative brood year</t>
  </si>
  <si>
    <t>Report comments</t>
  </si>
  <si>
    <t>Fish #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</si>
  <si>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</si>
  <si>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</si>
  <si>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</si>
  <si>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</si>
  <si>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</si>
  <si>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</si>
  <si>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</si>
  <si>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</si>
  <si>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</si>
  <si>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</si>
  <si>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</si>
  <si>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</si>
  <si>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</si>
  <si>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</si>
  <si>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</si>
  <si>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</si>
  <si>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</si>
  <si>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</si>
  <si>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</si>
  <si>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</si>
  <si>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</si>
  <si>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</si>
  <si>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</si>
  <si>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</si>
  <si>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</si>
  <si>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</si>
  <si>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</si>
  <si>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</si>
  <si>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</si>
  <si>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</si>
  <si>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</si>
  <si>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</si>
  <si>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</si>
  <si>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</si>
  <si>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</si>
  <si>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</si>
  <si>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</si>
  <si>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</si>
  <si>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</si>
  <si>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</si>
  <si>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</si>
  <si>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</si>
  <si>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</si>
  <si>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</si>
  <si>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</si>
  <si>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</si>
  <si>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</si>
  <si>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</si>
  <si>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</si>
  <si>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</si>
  <si>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</si>
  <si>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</si>
  <si>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2025-53</t>
  </si>
  <si>
    <t>2025-54</t>
  </si>
  <si>
    <t>2025-55</t>
  </si>
  <si>
    <t>2025-56</t>
  </si>
  <si>
    <t>2025-57</t>
  </si>
  <si>
    <t>2025-58</t>
  </si>
  <si>
    <t>2025-59</t>
  </si>
  <si>
    <t>2025-60</t>
  </si>
  <si>
    <t>2025-61</t>
  </si>
  <si>
    <t>2025-62</t>
  </si>
  <si>
    <t>2025-63</t>
  </si>
  <si>
    <t>2025-64</t>
  </si>
  <si>
    <t>2025-65</t>
  </si>
  <si>
    <t>2025-66</t>
  </si>
  <si>
    <t>2025-67</t>
  </si>
  <si>
    <t>2025-68</t>
  </si>
  <si>
    <t>2025-69</t>
  </si>
  <si>
    <t>2025-70</t>
  </si>
  <si>
    <t>2025-71</t>
  </si>
  <si>
    <t>2025-72</t>
  </si>
  <si>
    <t>2025-73</t>
  </si>
  <si>
    <t>2025-74</t>
  </si>
  <si>
    <t>2025-75</t>
  </si>
  <si>
    <t>2025-76</t>
  </si>
  <si>
    <t>2025-77</t>
  </si>
  <si>
    <t>2025-78</t>
  </si>
  <si>
    <t>2025-79</t>
  </si>
  <si>
    <t>2025-80</t>
  </si>
  <si>
    <t>2025-81</t>
  </si>
  <si>
    <t>2025-82</t>
  </si>
  <si>
    <t>2025-83</t>
  </si>
  <si>
    <t>2025-84</t>
  </si>
  <si>
    <t>2025-85</t>
  </si>
  <si>
    <t>2025-86</t>
  </si>
  <si>
    <t>2025-87</t>
  </si>
  <si>
    <t>2025-88</t>
  </si>
  <si>
    <t>2025-89</t>
  </si>
  <si>
    <t>2025-90</t>
  </si>
  <si>
    <t>2025-91</t>
  </si>
  <si>
    <t>2025-92</t>
  </si>
  <si>
    <t>2025-93</t>
  </si>
  <si>
    <t>2025-94</t>
  </si>
  <si>
    <t>2025-95</t>
  </si>
  <si>
    <t>2025-96</t>
  </si>
  <si>
    <t>2025-97</t>
  </si>
  <si>
    <t>2025-98</t>
  </si>
  <si>
    <t>2025-99</t>
  </si>
  <si>
    <t>2025-100</t>
  </si>
  <si>
    <t>2025-101</t>
  </si>
  <si>
    <t>2025-102</t>
  </si>
  <si>
    <t>2025-103</t>
  </si>
  <si>
    <t>2025-104</t>
  </si>
  <si>
    <t>2025-105</t>
  </si>
  <si>
    <t>2025-106</t>
  </si>
  <si>
    <t>2025-107</t>
  </si>
  <si>
    <t>2025-108</t>
  </si>
  <si>
    <t>2025-109</t>
  </si>
  <si>
    <t>chum</t>
  </si>
  <si>
    <t>UM</t>
  </si>
  <si>
    <t>M</t>
  </si>
  <si>
    <t>F</t>
  </si>
  <si>
    <t>S23121</t>
  </si>
  <si>
    <t>S23122</t>
  </si>
  <si>
    <t>S23123</t>
  </si>
  <si>
    <t>S23124</t>
  </si>
  <si>
    <t>S23125</t>
  </si>
  <si>
    <t>25QW</t>
  </si>
  <si>
    <t>hook and line</t>
  </si>
  <si>
    <t>S23126</t>
  </si>
  <si>
    <t>S23127</t>
  </si>
  <si>
    <t>S23128</t>
  </si>
  <si>
    <t>S23130</t>
  </si>
  <si>
    <t>S23133</t>
  </si>
  <si>
    <t>A-77746</t>
  </si>
  <si>
    <t>A-77749</t>
  </si>
  <si>
    <t>A-77750</t>
  </si>
  <si>
    <t>no DNA</t>
  </si>
  <si>
    <t>May Creek</t>
  </si>
  <si>
    <t>no OT</t>
  </si>
  <si>
    <t>Wallace</t>
  </si>
  <si>
    <t>2025-110</t>
  </si>
  <si>
    <t>2025-111</t>
  </si>
  <si>
    <t>2025-112</t>
  </si>
  <si>
    <t>2025-113</t>
  </si>
  <si>
    <t>2025-114</t>
  </si>
  <si>
    <t>2025-115</t>
  </si>
  <si>
    <t>2025-116</t>
  </si>
  <si>
    <t>2025-117</t>
  </si>
  <si>
    <t>2025-118</t>
  </si>
  <si>
    <t>2025-119</t>
  </si>
  <si>
    <t>2025-120</t>
  </si>
  <si>
    <t>2025-121</t>
  </si>
  <si>
    <t>2025-122</t>
  </si>
  <si>
    <t>2025-123</t>
  </si>
  <si>
    <t>2025-124</t>
  </si>
  <si>
    <t>2025-125</t>
  </si>
  <si>
    <t>2025-126</t>
  </si>
  <si>
    <t>2025-127</t>
  </si>
  <si>
    <t>2025-128</t>
  </si>
  <si>
    <t>2025-129</t>
  </si>
  <si>
    <t>2025-130</t>
  </si>
  <si>
    <t>2025-131</t>
  </si>
  <si>
    <t>2025-132</t>
  </si>
  <si>
    <t>2025-133</t>
  </si>
  <si>
    <t>2025-134</t>
  </si>
  <si>
    <t>2025-135</t>
  </si>
  <si>
    <t>2025-136</t>
  </si>
  <si>
    <t>2025-137</t>
  </si>
  <si>
    <t>2025-138</t>
  </si>
  <si>
    <t>2025-139</t>
  </si>
  <si>
    <t>2025-140</t>
  </si>
  <si>
    <t>2025-141</t>
  </si>
  <si>
    <t>2025-142</t>
  </si>
  <si>
    <t>2025-143</t>
  </si>
  <si>
    <t>2025-144</t>
  </si>
  <si>
    <t>2025-145</t>
  </si>
  <si>
    <t>2025-146</t>
  </si>
  <si>
    <t>S23132</t>
  </si>
  <si>
    <t>S23131</t>
  </si>
  <si>
    <t>2025-147</t>
  </si>
  <si>
    <t>S23129</t>
  </si>
  <si>
    <t>Row Labels</t>
  </si>
  <si>
    <t>Grand Total</t>
  </si>
  <si>
    <t>Column Labels</t>
  </si>
  <si>
    <t>Count of Sex</t>
  </si>
  <si>
    <t>Count of disposition</t>
  </si>
  <si>
    <t>Count of DNA Code</t>
  </si>
  <si>
    <t>Count of Otolith Code</t>
  </si>
  <si>
    <t>Females spawned</t>
  </si>
  <si>
    <t>Eggs</t>
  </si>
  <si>
    <t>Count of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</si>
</sst>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mowska, Beata V (DFW)" refreshedDate="45982.472541782408" createdVersion="8" refreshedVersion="8" minRefreshableVersion="3" recordCount="219" xr:uid="{F3D4A25B-84A0-4B12-802E-03DFA6070484}">
  <cacheSource type="worksheet">
    <worksheetSource name="Table5"/>
  </cacheSource>
  <cacheFields count="28">
    <cacheField name="Fish #" numFmtId="0">
      <sharedItems containsBlank="1"/>
    </cacheField>
    <cacheField name="Date" numFmtId="164">
      <sharedItems containsSemiMixedTypes="0" containsNonDate="0" containsDate="1" containsString="0" minDate="2025-11-05T00:00:00" maxDate="2025-11-20T00:00:00" count="7">
        <d v="2025-11-05T00:00:00"/>
        <d v="2025-11-10T00:00:00"/>
        <d v="2025-11-12T00:00:00"/>
        <d v="2025-11-17T00:00:00"/>
        <d v="2025-11-18T00:00:00"/>
        <d v="2025-11-19T00:00:00"/>
        <d v="2025-11-13T00:00:00" u="1"/>
      </sharedItems>
    </cacheField>
    <cacheField name="Species" numFmtId="0">
      <sharedItems/>
    </cacheField>
    <cacheField name="Run" numFmtId="0">
      <sharedItems containsNonDate="0" containsString="0" containsBlank="1"/>
    </cacheField>
    <cacheField name="Mark" numFmtId="0">
      <sharedItems/>
    </cacheField>
    <cacheField name="Fork Length" numFmtId="0">
      <sharedItems containsSemiMixedTypes="0" containsString="0" containsNumber="1" containsInteger="1" minValue="57" maxValue="87"/>
    </cacheField>
    <cacheField name="Sex" numFmtId="0">
      <sharedItems containsBlank="1" count="3">
        <s v="M"/>
        <s v="F"/>
        <m u="1"/>
      </sharedItems>
    </cacheField>
    <cacheField name="disposition" numFmtId="0">
      <sharedItems count="4">
        <s v="mortality"/>
        <s v="spawned"/>
        <s v="surplus"/>
        <s v="NVF"/>
      </sharedItems>
    </cacheField>
    <cacheField name="Scale Card Number" numFmtId="0">
      <sharedItems/>
    </cacheField>
    <cacheField name="Scale Card Position" numFmtId="0">
      <sharedItems containsSemiMixedTypes="0" containsString="0" containsNumber="1" containsInteger="1" minValue="1" maxValue="20"/>
    </cacheField>
    <cacheField name="Scale Age" numFmtId="0">
      <sharedItems containsNonDate="0" containsString="0" containsBlank="1"/>
    </cacheField>
    <cacheField name="Scale total age" numFmtId="0">
      <sharedItems containsNonDate="0" containsString="0" containsBlank="1"/>
    </cacheField>
    <cacheField name="DNA Code" numFmtId="0">
      <sharedItems count="1">
        <s v="25QW"/>
      </sharedItems>
    </cacheField>
    <cacheField name="DNA Card Position" numFmtId="0">
      <sharedItems/>
    </cacheField>
    <cacheField name="DNA Sample Number" numFmtId="0">
      <sharedItems containsMixedTypes="1" containsNumber="1" containsInteger="1" minValue="1" maxValue="216"/>
    </cacheField>
    <cacheField name="DNA Results" numFmtId="0">
      <sharedItems containsNonDate="0" containsString="0" containsBlank="1"/>
    </cacheField>
    <cacheField name="Otolith Code" numFmtId="0">
      <sharedItems containsMixedTypes="1" containsNumber="1" containsInteger="1" minValue="1" maxValue="214"/>
    </cacheField>
    <cacheField name="OT lab log #" numFmtId="0">
      <sharedItems containsNonDate="0" containsString="0" containsBlank="1"/>
    </cacheField>
    <cacheField name="Thermal mark status" numFmtId="0">
      <sharedItems containsNonDate="0" containsString="0" containsBlank="1"/>
    </cacheField>
    <cacheField name="Hatchery origin" numFmtId="0">
      <sharedItems containsNonDate="0" containsString="0" containsBlank="1"/>
    </cacheField>
    <cacheField name="Brood Year" numFmtId="0">
      <sharedItems containsNonDate="0" containsString="0" containsBlank="1"/>
    </cacheField>
    <cacheField name="Alternative origin " numFmtId="0">
      <sharedItems containsNonDate="0" containsString="0" containsBlank="1"/>
    </cacheField>
    <cacheField name="Alternative brood year" numFmtId="0">
      <sharedItems containsNonDate="0" containsString="0" containsBlank="1"/>
    </cacheField>
    <cacheField name="Report comments" numFmtId="0">
      <sharedItems containsNonDate="0" containsString="0" containsBlank="1"/>
    </cacheField>
    <cacheField name="OT age" numFmtId="0">
      <sharedItems containsNonDate="0" containsString="0" containsBlank="1"/>
    </cacheField>
    <cacheField name="# Otos" numFmtId="0">
      <sharedItems containsNonDate="0" containsString="0" containsBlank="1"/>
    </cacheField>
    <cacheField name="Source" numFmtId="0">
      <sharedItems containsBlank="1" count="4">
        <s v="hook and line"/>
        <s v="May Creek"/>
        <s v="Wallace"/>
        <m u="1"/>
      </sharedItems>
    </cacheField>
    <cacheField name="Fish 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s v="2025-1"/>
    <x v="0"/>
    <s v="chum"/>
    <m/>
    <s v="UM"/>
    <n v="73"/>
    <x v="0"/>
    <x v="0"/>
    <s v="S23121"/>
    <n v="1"/>
    <m/>
    <m/>
    <x v="0"/>
    <s v="A1"/>
    <n v="1"/>
    <m/>
    <n v="1"/>
    <m/>
    <m/>
    <m/>
    <m/>
    <m/>
    <m/>
    <m/>
    <m/>
    <m/>
    <x v="0"/>
    <m/>
  </r>
  <r>
    <s v="2025-2"/>
    <x v="0"/>
    <s v="chum"/>
    <m/>
    <s v="UM"/>
    <n v="77"/>
    <x v="1"/>
    <x v="0"/>
    <s v="S23122"/>
    <n v="2"/>
    <m/>
    <m/>
    <x v="0"/>
    <s v="A2"/>
    <n v="2"/>
    <m/>
    <n v="2"/>
    <m/>
    <m/>
    <m/>
    <m/>
    <m/>
    <m/>
    <m/>
    <m/>
    <m/>
    <x v="0"/>
    <m/>
  </r>
  <r>
    <s v="2025-3"/>
    <x v="0"/>
    <s v="chum"/>
    <m/>
    <s v="UM"/>
    <n v="76"/>
    <x v="0"/>
    <x v="0"/>
    <s v="S23123"/>
    <n v="3"/>
    <m/>
    <m/>
    <x v="0"/>
    <s v="A3"/>
    <n v="3"/>
    <m/>
    <n v="3"/>
    <m/>
    <m/>
    <m/>
    <m/>
    <m/>
    <m/>
    <m/>
    <m/>
    <m/>
    <x v="0"/>
    <m/>
  </r>
  <r>
    <s v="2025-4"/>
    <x v="0"/>
    <s v="chum"/>
    <m/>
    <s v="UM"/>
    <n v="68"/>
    <x v="1"/>
    <x v="0"/>
    <s v="S23124"/>
    <n v="4"/>
    <m/>
    <m/>
    <x v="0"/>
    <s v="A4"/>
    <n v="4"/>
    <m/>
    <n v="4"/>
    <m/>
    <m/>
    <m/>
    <m/>
    <m/>
    <m/>
    <m/>
    <m/>
    <m/>
    <x v="0"/>
    <m/>
  </r>
  <r>
    <s v="2025-5"/>
    <x v="0"/>
    <s v="chum"/>
    <m/>
    <s v="UM"/>
    <n v="74"/>
    <x v="0"/>
    <x v="0"/>
    <s v="S23125"/>
    <n v="5"/>
    <m/>
    <m/>
    <x v="0"/>
    <s v="A5"/>
    <n v="5"/>
    <m/>
    <n v="5"/>
    <m/>
    <m/>
    <m/>
    <m/>
    <m/>
    <m/>
    <m/>
    <m/>
    <m/>
    <x v="0"/>
    <m/>
  </r>
  <r>
    <s v="2025-6"/>
    <x v="1"/>
    <s v="chum"/>
    <m/>
    <s v="UM"/>
    <n v="70"/>
    <x v="0"/>
    <x v="1"/>
    <s v="S23122"/>
    <n v="1"/>
    <m/>
    <m/>
    <x v="0"/>
    <s v="A1"/>
    <n v="6"/>
    <m/>
    <n v="6"/>
    <m/>
    <m/>
    <m/>
    <m/>
    <m/>
    <m/>
    <m/>
    <m/>
    <m/>
    <x v="1"/>
    <m/>
  </r>
  <r>
    <s v="2025-7"/>
    <x v="1"/>
    <s v="chum"/>
    <m/>
    <s v="UM"/>
    <n v="65"/>
    <x v="0"/>
    <x v="1"/>
    <s v="S23122"/>
    <n v="2"/>
    <m/>
    <m/>
    <x v="0"/>
    <s v="A2"/>
    <n v="7"/>
    <m/>
    <n v="7"/>
    <m/>
    <m/>
    <m/>
    <m/>
    <m/>
    <m/>
    <m/>
    <m/>
    <m/>
    <x v="1"/>
    <m/>
  </r>
  <r>
    <s v="2025-8"/>
    <x v="1"/>
    <s v="chum"/>
    <m/>
    <s v="UM"/>
    <n v="68"/>
    <x v="0"/>
    <x v="1"/>
    <s v="S23122"/>
    <n v="3"/>
    <m/>
    <m/>
    <x v="0"/>
    <s v="A3"/>
    <n v="8"/>
    <m/>
    <n v="8"/>
    <m/>
    <m/>
    <m/>
    <m/>
    <m/>
    <m/>
    <m/>
    <m/>
    <m/>
    <x v="1"/>
    <m/>
  </r>
  <r>
    <s v="2025-9"/>
    <x v="1"/>
    <s v="chum"/>
    <m/>
    <s v="UM"/>
    <n v="70"/>
    <x v="0"/>
    <x v="1"/>
    <s v="S23122"/>
    <n v="4"/>
    <m/>
    <m/>
    <x v="0"/>
    <s v="A4"/>
    <n v="9"/>
    <m/>
    <n v="9"/>
    <m/>
    <m/>
    <m/>
    <m/>
    <m/>
    <m/>
    <m/>
    <m/>
    <m/>
    <x v="1"/>
    <m/>
  </r>
  <r>
    <s v="2025-10"/>
    <x v="1"/>
    <s v="chum"/>
    <m/>
    <s v="UM"/>
    <n v="68"/>
    <x v="0"/>
    <x v="1"/>
    <s v="S23122"/>
    <n v="5"/>
    <m/>
    <m/>
    <x v="0"/>
    <s v="A5"/>
    <n v="10"/>
    <m/>
    <n v="10"/>
    <m/>
    <m/>
    <m/>
    <m/>
    <m/>
    <m/>
    <m/>
    <m/>
    <m/>
    <x v="1"/>
    <m/>
  </r>
  <r>
    <s v="2025-11"/>
    <x v="1"/>
    <s v="chum"/>
    <m/>
    <s v="UM"/>
    <n v="67"/>
    <x v="0"/>
    <x v="1"/>
    <s v="S23122"/>
    <n v="6"/>
    <m/>
    <m/>
    <x v="0"/>
    <s v="A6"/>
    <n v="11"/>
    <m/>
    <n v="11"/>
    <m/>
    <m/>
    <m/>
    <m/>
    <m/>
    <m/>
    <m/>
    <m/>
    <m/>
    <x v="1"/>
    <m/>
  </r>
  <r>
    <s v="2025-12"/>
    <x v="1"/>
    <s v="chum"/>
    <m/>
    <s v="UM"/>
    <n v="68"/>
    <x v="0"/>
    <x v="1"/>
    <s v="S23122"/>
    <n v="7"/>
    <m/>
    <m/>
    <x v="0"/>
    <s v="B1"/>
    <n v="12"/>
    <m/>
    <n v="12"/>
    <m/>
    <m/>
    <m/>
    <m/>
    <m/>
    <m/>
    <m/>
    <m/>
    <m/>
    <x v="1"/>
    <m/>
  </r>
  <r>
    <s v="2025-13"/>
    <x v="1"/>
    <s v="chum"/>
    <m/>
    <s v="UM"/>
    <n v="71"/>
    <x v="0"/>
    <x v="1"/>
    <s v="S23122"/>
    <n v="8"/>
    <m/>
    <m/>
    <x v="0"/>
    <s v="B2"/>
    <n v="13"/>
    <m/>
    <n v="13"/>
    <m/>
    <m/>
    <m/>
    <m/>
    <m/>
    <m/>
    <m/>
    <m/>
    <m/>
    <x v="1"/>
    <m/>
  </r>
  <r>
    <s v="2025-14"/>
    <x v="1"/>
    <s v="chum"/>
    <m/>
    <s v="UM"/>
    <n v="69"/>
    <x v="0"/>
    <x v="1"/>
    <s v="S23122"/>
    <n v="9"/>
    <m/>
    <m/>
    <x v="0"/>
    <s v="B3"/>
    <n v="14"/>
    <m/>
    <n v="14"/>
    <m/>
    <m/>
    <m/>
    <m/>
    <m/>
    <m/>
    <m/>
    <m/>
    <m/>
    <x v="1"/>
    <m/>
  </r>
  <r>
    <s v="2025-15"/>
    <x v="1"/>
    <s v="chum"/>
    <m/>
    <s v="UM"/>
    <n v="69"/>
    <x v="0"/>
    <x v="1"/>
    <s v="S23122"/>
    <n v="10"/>
    <m/>
    <m/>
    <x v="0"/>
    <s v="B4"/>
    <n v="15"/>
    <m/>
    <n v="15"/>
    <m/>
    <m/>
    <m/>
    <m/>
    <m/>
    <m/>
    <m/>
    <m/>
    <m/>
    <x v="1"/>
    <m/>
  </r>
  <r>
    <s v="2025-16"/>
    <x v="1"/>
    <s v="chum"/>
    <m/>
    <s v="UM"/>
    <n v="70"/>
    <x v="0"/>
    <x v="1"/>
    <s v="S23122"/>
    <n v="11"/>
    <m/>
    <m/>
    <x v="0"/>
    <s v="B5"/>
    <n v="16"/>
    <m/>
    <n v="16"/>
    <m/>
    <m/>
    <m/>
    <m/>
    <m/>
    <m/>
    <m/>
    <m/>
    <m/>
    <x v="1"/>
    <m/>
  </r>
  <r>
    <s v="2025-17"/>
    <x v="1"/>
    <s v="chum"/>
    <m/>
    <s v="UM"/>
    <n v="72"/>
    <x v="0"/>
    <x v="1"/>
    <s v="S23122"/>
    <n v="12"/>
    <m/>
    <m/>
    <x v="0"/>
    <s v="B6"/>
    <n v="17"/>
    <m/>
    <n v="17"/>
    <m/>
    <m/>
    <m/>
    <m/>
    <m/>
    <m/>
    <m/>
    <m/>
    <m/>
    <x v="1"/>
    <m/>
  </r>
  <r>
    <s v="2025-18"/>
    <x v="1"/>
    <s v="chum"/>
    <m/>
    <s v="UM"/>
    <n v="70"/>
    <x v="1"/>
    <x v="1"/>
    <s v="S23122"/>
    <n v="13"/>
    <m/>
    <m/>
    <x v="0"/>
    <s v="C1"/>
    <n v="18"/>
    <m/>
    <n v="18"/>
    <m/>
    <m/>
    <m/>
    <m/>
    <m/>
    <m/>
    <m/>
    <m/>
    <m/>
    <x v="1"/>
    <m/>
  </r>
  <r>
    <s v="2025-19"/>
    <x v="1"/>
    <s v="chum"/>
    <m/>
    <s v="UM"/>
    <n v="73"/>
    <x v="1"/>
    <x v="1"/>
    <s v="S23122"/>
    <n v="14"/>
    <m/>
    <m/>
    <x v="0"/>
    <s v="C2"/>
    <n v="19"/>
    <m/>
    <n v="19"/>
    <m/>
    <m/>
    <m/>
    <m/>
    <m/>
    <m/>
    <m/>
    <m/>
    <m/>
    <x v="1"/>
    <m/>
  </r>
  <r>
    <s v="2025-20"/>
    <x v="1"/>
    <s v="chum"/>
    <m/>
    <s v="UM"/>
    <n v="59"/>
    <x v="1"/>
    <x v="1"/>
    <s v="S23122"/>
    <n v="15"/>
    <m/>
    <m/>
    <x v="0"/>
    <s v="C3"/>
    <n v="20"/>
    <m/>
    <n v="20"/>
    <m/>
    <m/>
    <m/>
    <m/>
    <m/>
    <m/>
    <m/>
    <m/>
    <m/>
    <x v="1"/>
    <m/>
  </r>
  <r>
    <s v="2025-21"/>
    <x v="1"/>
    <s v="chum"/>
    <m/>
    <s v="UM"/>
    <n v="61"/>
    <x v="1"/>
    <x v="1"/>
    <s v="S23122"/>
    <n v="16"/>
    <m/>
    <m/>
    <x v="0"/>
    <s v="C4"/>
    <n v="21"/>
    <m/>
    <n v="21"/>
    <m/>
    <m/>
    <m/>
    <m/>
    <m/>
    <m/>
    <m/>
    <m/>
    <m/>
    <x v="1"/>
    <m/>
  </r>
  <r>
    <s v="2025-22"/>
    <x v="1"/>
    <s v="chum"/>
    <m/>
    <s v="UM"/>
    <n v="69"/>
    <x v="1"/>
    <x v="1"/>
    <s v="S23122"/>
    <n v="17"/>
    <m/>
    <m/>
    <x v="0"/>
    <s v="C5"/>
    <n v="22"/>
    <m/>
    <n v="22"/>
    <m/>
    <m/>
    <m/>
    <m/>
    <m/>
    <m/>
    <m/>
    <m/>
    <m/>
    <x v="1"/>
    <m/>
  </r>
  <r>
    <s v="2025-23"/>
    <x v="1"/>
    <s v="chum"/>
    <m/>
    <s v="UM"/>
    <n v="67"/>
    <x v="1"/>
    <x v="1"/>
    <s v="S23122"/>
    <n v="18"/>
    <m/>
    <m/>
    <x v="0"/>
    <s v="C6"/>
    <n v="23"/>
    <m/>
    <n v="23"/>
    <m/>
    <m/>
    <m/>
    <m/>
    <m/>
    <m/>
    <m/>
    <m/>
    <m/>
    <x v="1"/>
    <m/>
  </r>
  <r>
    <s v="2025-24"/>
    <x v="1"/>
    <s v="chum"/>
    <m/>
    <s v="UM"/>
    <n v="77"/>
    <x v="1"/>
    <x v="1"/>
    <s v="S23122"/>
    <n v="19"/>
    <m/>
    <m/>
    <x v="0"/>
    <s v="D1"/>
    <n v="24"/>
    <m/>
    <n v="24"/>
    <m/>
    <m/>
    <m/>
    <m/>
    <m/>
    <m/>
    <m/>
    <m/>
    <m/>
    <x v="1"/>
    <m/>
  </r>
  <r>
    <s v="2025-25"/>
    <x v="1"/>
    <s v="chum"/>
    <m/>
    <s v="UM"/>
    <n v="65"/>
    <x v="1"/>
    <x v="1"/>
    <s v="S23122"/>
    <n v="20"/>
    <m/>
    <m/>
    <x v="0"/>
    <s v="D2"/>
    <n v="25"/>
    <m/>
    <n v="25"/>
    <m/>
    <m/>
    <m/>
    <m/>
    <m/>
    <m/>
    <m/>
    <m/>
    <m/>
    <x v="1"/>
    <m/>
  </r>
  <r>
    <s v="2025-26"/>
    <x v="1"/>
    <s v="chum"/>
    <m/>
    <s v="UM"/>
    <n v="77"/>
    <x v="1"/>
    <x v="1"/>
    <s v="A-77746"/>
    <n v="1"/>
    <m/>
    <m/>
    <x v="0"/>
    <s v="D3"/>
    <n v="26"/>
    <m/>
    <n v="26"/>
    <m/>
    <m/>
    <m/>
    <m/>
    <m/>
    <m/>
    <m/>
    <m/>
    <m/>
    <x v="1"/>
    <m/>
  </r>
  <r>
    <s v="2025-27"/>
    <x v="1"/>
    <s v="chum"/>
    <m/>
    <s v="UM"/>
    <n v="70"/>
    <x v="1"/>
    <x v="1"/>
    <s v="A-77746"/>
    <n v="2"/>
    <m/>
    <m/>
    <x v="0"/>
    <s v="D4"/>
    <n v="27"/>
    <m/>
    <n v="27"/>
    <m/>
    <m/>
    <m/>
    <m/>
    <m/>
    <m/>
    <m/>
    <m/>
    <m/>
    <x v="1"/>
    <m/>
  </r>
  <r>
    <s v="2025-28"/>
    <x v="1"/>
    <s v="chum"/>
    <m/>
    <s v="UM"/>
    <n v="66"/>
    <x v="1"/>
    <x v="1"/>
    <s v="A-77746"/>
    <n v="3"/>
    <m/>
    <m/>
    <x v="0"/>
    <s v="D5"/>
    <n v="28"/>
    <m/>
    <n v="28"/>
    <m/>
    <m/>
    <m/>
    <m/>
    <m/>
    <m/>
    <m/>
    <m/>
    <m/>
    <x v="1"/>
    <m/>
  </r>
  <r>
    <s v="2025-29"/>
    <x v="1"/>
    <s v="chum"/>
    <m/>
    <s v="UM"/>
    <n v="70"/>
    <x v="1"/>
    <x v="1"/>
    <s v="A-77746"/>
    <n v="4"/>
    <m/>
    <m/>
    <x v="0"/>
    <s v="D6"/>
    <n v="29"/>
    <m/>
    <n v="29"/>
    <m/>
    <m/>
    <m/>
    <m/>
    <m/>
    <m/>
    <m/>
    <m/>
    <m/>
    <x v="1"/>
    <m/>
  </r>
  <r>
    <s v="2025-30"/>
    <x v="1"/>
    <s v="chum"/>
    <m/>
    <s v="UM"/>
    <n v="83"/>
    <x v="0"/>
    <x v="0"/>
    <s v="A-77746"/>
    <n v="5"/>
    <m/>
    <m/>
    <x v="0"/>
    <s v="E1"/>
    <n v="30"/>
    <m/>
    <n v="30"/>
    <m/>
    <m/>
    <m/>
    <m/>
    <m/>
    <m/>
    <m/>
    <m/>
    <m/>
    <x v="1"/>
    <m/>
  </r>
  <r>
    <s v="2025-31"/>
    <x v="1"/>
    <s v="chum"/>
    <m/>
    <s v="UM"/>
    <n v="63"/>
    <x v="1"/>
    <x v="0"/>
    <s v="A-77746"/>
    <n v="6"/>
    <m/>
    <m/>
    <x v="0"/>
    <s v="E2"/>
    <s v="no DNA"/>
    <m/>
    <n v="31"/>
    <m/>
    <m/>
    <m/>
    <m/>
    <m/>
    <m/>
    <m/>
    <m/>
    <m/>
    <x v="1"/>
    <m/>
  </r>
  <r>
    <s v="2025-32"/>
    <x v="2"/>
    <s v="chum"/>
    <m/>
    <s v="UM"/>
    <n v="78"/>
    <x v="0"/>
    <x v="1"/>
    <s v="S23126"/>
    <n v="1"/>
    <m/>
    <m/>
    <x v="0"/>
    <s v="A1"/>
    <n v="31"/>
    <m/>
    <n v="42"/>
    <m/>
    <m/>
    <m/>
    <m/>
    <m/>
    <m/>
    <m/>
    <m/>
    <m/>
    <x v="0"/>
    <m/>
  </r>
  <r>
    <s v="2025-33"/>
    <x v="2"/>
    <s v="chum"/>
    <m/>
    <s v="UM"/>
    <n v="74"/>
    <x v="0"/>
    <x v="1"/>
    <s v="S23126"/>
    <n v="2"/>
    <m/>
    <m/>
    <x v="0"/>
    <s v="A2"/>
    <n v="32"/>
    <m/>
    <n v="43"/>
    <m/>
    <m/>
    <m/>
    <m/>
    <m/>
    <m/>
    <m/>
    <m/>
    <m/>
    <x v="1"/>
    <m/>
  </r>
  <r>
    <s v="2025-34"/>
    <x v="2"/>
    <s v="chum"/>
    <m/>
    <s v="UM"/>
    <n v="72"/>
    <x v="0"/>
    <x v="1"/>
    <s v="S23126"/>
    <n v="3"/>
    <m/>
    <m/>
    <x v="0"/>
    <s v="A3"/>
    <n v="33"/>
    <m/>
    <n v="44"/>
    <m/>
    <m/>
    <m/>
    <m/>
    <m/>
    <m/>
    <m/>
    <m/>
    <m/>
    <x v="1"/>
    <m/>
  </r>
  <r>
    <s v="2025-35"/>
    <x v="2"/>
    <s v="chum"/>
    <m/>
    <s v="UM"/>
    <n v="67"/>
    <x v="0"/>
    <x v="1"/>
    <s v="S23126"/>
    <n v="4"/>
    <m/>
    <m/>
    <x v="0"/>
    <s v="A4"/>
    <n v="34"/>
    <m/>
    <n v="45"/>
    <m/>
    <m/>
    <m/>
    <m/>
    <m/>
    <m/>
    <m/>
    <m/>
    <m/>
    <x v="1"/>
    <m/>
  </r>
  <r>
    <s v="2025-36"/>
    <x v="2"/>
    <s v="chum"/>
    <m/>
    <s v="UM"/>
    <n v="68"/>
    <x v="0"/>
    <x v="1"/>
    <s v="S23126"/>
    <n v="5"/>
    <m/>
    <m/>
    <x v="0"/>
    <s v="A5"/>
    <n v="35"/>
    <m/>
    <n v="46"/>
    <m/>
    <m/>
    <m/>
    <m/>
    <m/>
    <m/>
    <m/>
    <m/>
    <m/>
    <x v="1"/>
    <m/>
  </r>
  <r>
    <s v="2025-37"/>
    <x v="2"/>
    <s v="chum"/>
    <m/>
    <s v="UM"/>
    <n v="70"/>
    <x v="0"/>
    <x v="1"/>
    <s v="S23126"/>
    <n v="6"/>
    <m/>
    <m/>
    <x v="0"/>
    <s v="A6"/>
    <n v="36"/>
    <m/>
    <n v="47"/>
    <m/>
    <m/>
    <m/>
    <m/>
    <m/>
    <m/>
    <m/>
    <m/>
    <m/>
    <x v="1"/>
    <m/>
  </r>
  <r>
    <s v="2025-38"/>
    <x v="2"/>
    <s v="chum"/>
    <m/>
    <s v="UM"/>
    <n v="75"/>
    <x v="0"/>
    <x v="1"/>
    <s v="S23126"/>
    <n v="7"/>
    <m/>
    <m/>
    <x v="0"/>
    <s v="B1"/>
    <n v="37"/>
    <m/>
    <n v="48"/>
    <m/>
    <m/>
    <m/>
    <m/>
    <m/>
    <m/>
    <m/>
    <m/>
    <m/>
    <x v="1"/>
    <m/>
  </r>
  <r>
    <s v="2025-39"/>
    <x v="2"/>
    <s v="chum"/>
    <m/>
    <s v="UM"/>
    <n v="72"/>
    <x v="0"/>
    <x v="1"/>
    <s v="S23126"/>
    <n v="8"/>
    <m/>
    <m/>
    <x v="0"/>
    <s v="B2"/>
    <n v="38"/>
    <m/>
    <n v="49"/>
    <m/>
    <m/>
    <m/>
    <m/>
    <m/>
    <m/>
    <m/>
    <m/>
    <m/>
    <x v="1"/>
    <m/>
  </r>
  <r>
    <s v="2025-40"/>
    <x v="2"/>
    <s v="chum"/>
    <m/>
    <s v="UM"/>
    <n v="73"/>
    <x v="0"/>
    <x v="1"/>
    <s v="S23126"/>
    <n v="9"/>
    <m/>
    <m/>
    <x v="0"/>
    <s v="B3"/>
    <n v="39"/>
    <m/>
    <s v="no OT"/>
    <m/>
    <m/>
    <m/>
    <m/>
    <m/>
    <m/>
    <m/>
    <m/>
    <m/>
    <x v="1"/>
    <m/>
  </r>
  <r>
    <s v="2025-41"/>
    <x v="2"/>
    <s v="chum"/>
    <m/>
    <s v="UM"/>
    <n v="62"/>
    <x v="0"/>
    <x v="1"/>
    <s v="S23126"/>
    <n v="10"/>
    <m/>
    <m/>
    <x v="0"/>
    <s v="B4"/>
    <n v="40"/>
    <m/>
    <n v="50"/>
    <m/>
    <m/>
    <m/>
    <m/>
    <m/>
    <m/>
    <m/>
    <m/>
    <m/>
    <x v="1"/>
    <m/>
  </r>
  <r>
    <s v="2025-42"/>
    <x v="2"/>
    <s v="chum"/>
    <m/>
    <s v="UM"/>
    <n v="82"/>
    <x v="0"/>
    <x v="1"/>
    <s v="S23126"/>
    <n v="11"/>
    <m/>
    <m/>
    <x v="0"/>
    <s v="B5"/>
    <n v="41"/>
    <m/>
    <n v="51"/>
    <m/>
    <m/>
    <m/>
    <m/>
    <m/>
    <m/>
    <m/>
    <m/>
    <m/>
    <x v="1"/>
    <m/>
  </r>
  <r>
    <s v="2025-43"/>
    <x v="2"/>
    <s v="chum"/>
    <m/>
    <s v="UM"/>
    <n v="74"/>
    <x v="0"/>
    <x v="1"/>
    <s v="S23126"/>
    <n v="12"/>
    <m/>
    <m/>
    <x v="0"/>
    <s v="B6"/>
    <n v="42"/>
    <m/>
    <n v="52"/>
    <m/>
    <m/>
    <m/>
    <m/>
    <m/>
    <m/>
    <m/>
    <m/>
    <m/>
    <x v="1"/>
    <m/>
  </r>
  <r>
    <s v="2025-44"/>
    <x v="2"/>
    <s v="chum"/>
    <m/>
    <s v="UM"/>
    <n v="66"/>
    <x v="0"/>
    <x v="1"/>
    <s v="S23126"/>
    <n v="13"/>
    <m/>
    <m/>
    <x v="0"/>
    <s v="C1"/>
    <n v="43"/>
    <m/>
    <n v="53"/>
    <m/>
    <m/>
    <m/>
    <m/>
    <m/>
    <m/>
    <m/>
    <m/>
    <m/>
    <x v="1"/>
    <m/>
  </r>
  <r>
    <s v="2025-45"/>
    <x v="2"/>
    <s v="chum"/>
    <m/>
    <s v="UM"/>
    <n v="65"/>
    <x v="0"/>
    <x v="1"/>
    <s v="S23126"/>
    <n v="14"/>
    <m/>
    <m/>
    <x v="0"/>
    <s v="C2"/>
    <n v="44"/>
    <m/>
    <n v="54"/>
    <m/>
    <m/>
    <m/>
    <m/>
    <m/>
    <m/>
    <m/>
    <m/>
    <m/>
    <x v="1"/>
    <m/>
  </r>
  <r>
    <s v="2025-46"/>
    <x v="2"/>
    <s v="chum"/>
    <m/>
    <s v="UM"/>
    <n v="66"/>
    <x v="0"/>
    <x v="1"/>
    <s v="S23126"/>
    <n v="15"/>
    <m/>
    <m/>
    <x v="0"/>
    <s v="C3"/>
    <n v="45"/>
    <m/>
    <n v="55"/>
    <m/>
    <m/>
    <m/>
    <m/>
    <m/>
    <m/>
    <m/>
    <m/>
    <m/>
    <x v="1"/>
    <m/>
  </r>
  <r>
    <s v="2025-47"/>
    <x v="2"/>
    <s v="chum"/>
    <m/>
    <s v="UM"/>
    <n v="68"/>
    <x v="0"/>
    <x v="1"/>
    <s v="S23126"/>
    <n v="16"/>
    <m/>
    <m/>
    <x v="0"/>
    <s v="C4"/>
    <n v="46"/>
    <m/>
    <n v="56"/>
    <m/>
    <m/>
    <m/>
    <m/>
    <m/>
    <m/>
    <m/>
    <m/>
    <m/>
    <x v="1"/>
    <m/>
  </r>
  <r>
    <s v="2025-48"/>
    <x v="2"/>
    <s v="chum"/>
    <m/>
    <s v="UM"/>
    <n v="70"/>
    <x v="0"/>
    <x v="1"/>
    <s v="S23126"/>
    <n v="17"/>
    <m/>
    <m/>
    <x v="0"/>
    <s v="C5"/>
    <n v="47"/>
    <m/>
    <n v="57"/>
    <m/>
    <m/>
    <m/>
    <m/>
    <m/>
    <m/>
    <m/>
    <m/>
    <m/>
    <x v="1"/>
    <m/>
  </r>
  <r>
    <s v="2025-49"/>
    <x v="2"/>
    <s v="chum"/>
    <m/>
    <s v="UM"/>
    <n v="69"/>
    <x v="0"/>
    <x v="1"/>
    <s v="S23126"/>
    <n v="18"/>
    <m/>
    <m/>
    <x v="0"/>
    <s v="C6"/>
    <n v="48"/>
    <m/>
    <n v="58"/>
    <m/>
    <m/>
    <m/>
    <m/>
    <m/>
    <m/>
    <m/>
    <m/>
    <m/>
    <x v="1"/>
    <m/>
  </r>
  <r>
    <s v="2025-50"/>
    <x v="2"/>
    <s v="chum"/>
    <m/>
    <s v="UM"/>
    <n v="70"/>
    <x v="0"/>
    <x v="1"/>
    <s v="S23126"/>
    <n v="19"/>
    <m/>
    <m/>
    <x v="0"/>
    <s v="D1"/>
    <n v="49"/>
    <m/>
    <n v="59"/>
    <m/>
    <m/>
    <m/>
    <m/>
    <m/>
    <m/>
    <m/>
    <m/>
    <m/>
    <x v="1"/>
    <m/>
  </r>
  <r>
    <s v="2025-51"/>
    <x v="2"/>
    <s v="chum"/>
    <m/>
    <s v="UM"/>
    <n v="70"/>
    <x v="1"/>
    <x v="1"/>
    <s v="S23126"/>
    <n v="20"/>
    <m/>
    <m/>
    <x v="0"/>
    <s v="D2"/>
    <n v="50"/>
    <m/>
    <n v="60"/>
    <m/>
    <m/>
    <m/>
    <m/>
    <m/>
    <m/>
    <m/>
    <m/>
    <m/>
    <x v="1"/>
    <m/>
  </r>
  <r>
    <s v="2025-52"/>
    <x v="2"/>
    <s v="chum"/>
    <m/>
    <s v="UM"/>
    <n v="69"/>
    <x v="0"/>
    <x v="1"/>
    <s v="S23123"/>
    <n v="1"/>
    <m/>
    <m/>
    <x v="0"/>
    <s v="A1"/>
    <n v="51"/>
    <m/>
    <n v="32"/>
    <m/>
    <m/>
    <m/>
    <m/>
    <m/>
    <m/>
    <m/>
    <m/>
    <m/>
    <x v="0"/>
    <m/>
  </r>
  <r>
    <s v="2025-53"/>
    <x v="2"/>
    <s v="chum"/>
    <m/>
    <s v="UM"/>
    <n v="67"/>
    <x v="0"/>
    <x v="1"/>
    <s v="S23123"/>
    <n v="2"/>
    <m/>
    <m/>
    <x v="0"/>
    <s v="A2"/>
    <n v="52"/>
    <m/>
    <n v="33"/>
    <m/>
    <m/>
    <m/>
    <m/>
    <m/>
    <m/>
    <m/>
    <m/>
    <m/>
    <x v="0"/>
    <m/>
  </r>
  <r>
    <s v="2025-54"/>
    <x v="2"/>
    <s v="chum"/>
    <m/>
    <s v="UM"/>
    <n v="71"/>
    <x v="1"/>
    <x v="1"/>
    <s v="S23123"/>
    <n v="3"/>
    <m/>
    <m/>
    <x v="0"/>
    <s v="A3"/>
    <n v="53"/>
    <m/>
    <n v="34"/>
    <m/>
    <m/>
    <m/>
    <m/>
    <m/>
    <m/>
    <m/>
    <m/>
    <m/>
    <x v="0"/>
    <m/>
  </r>
  <r>
    <s v="2025-55"/>
    <x v="2"/>
    <s v="chum"/>
    <m/>
    <s v="UM"/>
    <n v="60"/>
    <x v="1"/>
    <x v="1"/>
    <s v="S23123"/>
    <n v="4"/>
    <m/>
    <m/>
    <x v="0"/>
    <s v="A4"/>
    <n v="54"/>
    <m/>
    <n v="35"/>
    <m/>
    <m/>
    <m/>
    <m/>
    <m/>
    <m/>
    <m/>
    <m/>
    <m/>
    <x v="0"/>
    <m/>
  </r>
  <r>
    <s v="2025-56"/>
    <x v="2"/>
    <s v="chum"/>
    <m/>
    <s v="UM"/>
    <n v="75"/>
    <x v="1"/>
    <x v="1"/>
    <s v="S23123"/>
    <n v="5"/>
    <m/>
    <m/>
    <x v="0"/>
    <s v="A5"/>
    <n v="55"/>
    <m/>
    <n v="36"/>
    <m/>
    <m/>
    <m/>
    <m/>
    <m/>
    <m/>
    <m/>
    <m/>
    <m/>
    <x v="0"/>
    <m/>
  </r>
  <r>
    <s v="2025-57"/>
    <x v="2"/>
    <s v="chum"/>
    <m/>
    <s v="UM"/>
    <n v="64"/>
    <x v="1"/>
    <x v="1"/>
    <s v="S23123"/>
    <n v="6"/>
    <m/>
    <m/>
    <x v="0"/>
    <s v="A6"/>
    <n v="56"/>
    <m/>
    <n v="37"/>
    <m/>
    <m/>
    <m/>
    <m/>
    <m/>
    <m/>
    <m/>
    <m/>
    <m/>
    <x v="0"/>
    <m/>
  </r>
  <r>
    <s v="2025-58"/>
    <x v="2"/>
    <s v="chum"/>
    <m/>
    <s v="UM"/>
    <n v="63"/>
    <x v="1"/>
    <x v="1"/>
    <s v="S23123"/>
    <n v="7"/>
    <m/>
    <m/>
    <x v="0"/>
    <s v="B1"/>
    <n v="57"/>
    <m/>
    <n v="38"/>
    <m/>
    <m/>
    <m/>
    <m/>
    <m/>
    <m/>
    <m/>
    <m/>
    <m/>
    <x v="0"/>
    <m/>
  </r>
  <r>
    <s v="2025-59"/>
    <x v="2"/>
    <s v="chum"/>
    <m/>
    <s v="UM"/>
    <n v="70"/>
    <x v="1"/>
    <x v="1"/>
    <s v="S23123"/>
    <n v="8"/>
    <m/>
    <m/>
    <x v="0"/>
    <s v="B2"/>
    <n v="58"/>
    <m/>
    <n v="39"/>
    <m/>
    <m/>
    <m/>
    <m/>
    <m/>
    <m/>
    <m/>
    <m/>
    <m/>
    <x v="0"/>
    <m/>
  </r>
  <r>
    <s v="2025-60"/>
    <x v="2"/>
    <s v="chum"/>
    <m/>
    <s v="UM"/>
    <n v="57"/>
    <x v="1"/>
    <x v="1"/>
    <s v="S23123"/>
    <n v="9"/>
    <m/>
    <m/>
    <x v="0"/>
    <s v="B3"/>
    <n v="59"/>
    <m/>
    <n v="40"/>
    <m/>
    <m/>
    <m/>
    <m/>
    <m/>
    <m/>
    <m/>
    <m/>
    <m/>
    <x v="0"/>
    <m/>
  </r>
  <r>
    <s v="2025-61"/>
    <x v="2"/>
    <s v="chum"/>
    <m/>
    <s v="UM"/>
    <n v="66"/>
    <x v="0"/>
    <x v="2"/>
    <s v="S23123"/>
    <n v="10"/>
    <m/>
    <m/>
    <x v="0"/>
    <s v="B4"/>
    <n v="60"/>
    <m/>
    <n v="41"/>
    <m/>
    <m/>
    <m/>
    <m/>
    <m/>
    <m/>
    <m/>
    <m/>
    <m/>
    <x v="0"/>
    <m/>
  </r>
  <r>
    <s v="2025-62"/>
    <x v="2"/>
    <s v="chum"/>
    <m/>
    <s v="UM"/>
    <n v="74"/>
    <x v="1"/>
    <x v="1"/>
    <s v="S23124"/>
    <n v="1"/>
    <m/>
    <m/>
    <x v="0"/>
    <s v="A1"/>
    <n v="61"/>
    <m/>
    <n v="61"/>
    <m/>
    <m/>
    <m/>
    <m/>
    <m/>
    <m/>
    <m/>
    <m/>
    <m/>
    <x v="1"/>
    <m/>
  </r>
  <r>
    <s v="2025-63"/>
    <x v="2"/>
    <s v="chum"/>
    <m/>
    <s v="UM"/>
    <n v="80"/>
    <x v="1"/>
    <x v="1"/>
    <s v="S23124"/>
    <n v="2"/>
    <m/>
    <m/>
    <x v="0"/>
    <s v="A2"/>
    <n v="62"/>
    <m/>
    <n v="62"/>
    <m/>
    <m/>
    <m/>
    <m/>
    <m/>
    <m/>
    <m/>
    <m/>
    <m/>
    <x v="1"/>
    <m/>
  </r>
  <r>
    <s v="2025-64"/>
    <x v="2"/>
    <s v="chum"/>
    <m/>
    <s v="UM"/>
    <n v="69"/>
    <x v="1"/>
    <x v="1"/>
    <s v="S23124"/>
    <n v="3"/>
    <m/>
    <m/>
    <x v="0"/>
    <s v="A3"/>
    <n v="63"/>
    <m/>
    <n v="63"/>
    <m/>
    <m/>
    <m/>
    <m/>
    <m/>
    <m/>
    <m/>
    <m/>
    <m/>
    <x v="1"/>
    <m/>
  </r>
  <r>
    <s v="2025-65"/>
    <x v="2"/>
    <s v="chum"/>
    <m/>
    <s v="UM"/>
    <n v="70"/>
    <x v="1"/>
    <x v="1"/>
    <s v="S23124"/>
    <n v="4"/>
    <m/>
    <m/>
    <x v="0"/>
    <s v="A4"/>
    <n v="64"/>
    <m/>
    <n v="64"/>
    <m/>
    <m/>
    <m/>
    <m/>
    <m/>
    <m/>
    <m/>
    <m/>
    <m/>
    <x v="1"/>
    <m/>
  </r>
  <r>
    <s v="2025-66"/>
    <x v="2"/>
    <s v="chum"/>
    <m/>
    <s v="UM"/>
    <n v="74"/>
    <x v="1"/>
    <x v="1"/>
    <s v="S23124"/>
    <n v="5"/>
    <m/>
    <m/>
    <x v="0"/>
    <s v="A5"/>
    <n v="65"/>
    <m/>
    <n v="65"/>
    <m/>
    <m/>
    <m/>
    <m/>
    <m/>
    <m/>
    <m/>
    <m/>
    <m/>
    <x v="1"/>
    <m/>
  </r>
  <r>
    <s v="2025-67"/>
    <x v="2"/>
    <s v="chum"/>
    <m/>
    <s v="UM"/>
    <n v="67"/>
    <x v="1"/>
    <x v="1"/>
    <s v="S23124"/>
    <n v="6"/>
    <m/>
    <m/>
    <x v="0"/>
    <s v="A6"/>
    <n v="66"/>
    <m/>
    <n v="66"/>
    <m/>
    <m/>
    <m/>
    <m/>
    <m/>
    <m/>
    <m/>
    <m/>
    <m/>
    <x v="1"/>
    <m/>
  </r>
  <r>
    <s v="2025-68"/>
    <x v="2"/>
    <s v="chum"/>
    <m/>
    <s v="UM"/>
    <n v="72"/>
    <x v="1"/>
    <x v="1"/>
    <s v="S23124"/>
    <n v="7"/>
    <m/>
    <m/>
    <x v="0"/>
    <s v="B1"/>
    <n v="67"/>
    <m/>
    <n v="67"/>
    <m/>
    <m/>
    <m/>
    <m/>
    <m/>
    <m/>
    <m/>
    <m/>
    <m/>
    <x v="1"/>
    <m/>
  </r>
  <r>
    <s v="2025-69"/>
    <x v="2"/>
    <s v="chum"/>
    <m/>
    <s v="UM"/>
    <n v="64"/>
    <x v="1"/>
    <x v="1"/>
    <s v="S23124"/>
    <n v="8"/>
    <m/>
    <m/>
    <x v="0"/>
    <s v="B2"/>
    <n v="68"/>
    <m/>
    <n v="68"/>
    <m/>
    <m/>
    <m/>
    <m/>
    <m/>
    <m/>
    <m/>
    <m/>
    <m/>
    <x v="1"/>
    <m/>
  </r>
  <r>
    <s v="2025-70"/>
    <x v="2"/>
    <s v="chum"/>
    <m/>
    <s v="UM"/>
    <n v="69"/>
    <x v="1"/>
    <x v="1"/>
    <s v="S23124"/>
    <n v="9"/>
    <m/>
    <m/>
    <x v="0"/>
    <s v="B3"/>
    <n v="69"/>
    <m/>
    <n v="69"/>
    <m/>
    <m/>
    <m/>
    <m/>
    <m/>
    <m/>
    <m/>
    <m/>
    <m/>
    <x v="1"/>
    <m/>
  </r>
  <r>
    <s v="2025-71"/>
    <x v="2"/>
    <s v="chum"/>
    <m/>
    <s v="UM"/>
    <n v="71"/>
    <x v="1"/>
    <x v="1"/>
    <s v="S23124"/>
    <n v="10"/>
    <m/>
    <m/>
    <x v="0"/>
    <s v="B4"/>
    <n v="70"/>
    <m/>
    <n v="70"/>
    <m/>
    <m/>
    <m/>
    <m/>
    <m/>
    <m/>
    <m/>
    <m/>
    <m/>
    <x v="1"/>
    <m/>
  </r>
  <r>
    <s v="2025-72"/>
    <x v="2"/>
    <s v="chum"/>
    <m/>
    <s v="UM"/>
    <n v="63"/>
    <x v="1"/>
    <x v="1"/>
    <s v="S23124"/>
    <n v="11"/>
    <m/>
    <m/>
    <x v="0"/>
    <s v="B5"/>
    <n v="71"/>
    <m/>
    <n v="71"/>
    <m/>
    <m/>
    <m/>
    <m/>
    <m/>
    <m/>
    <m/>
    <m/>
    <m/>
    <x v="1"/>
    <m/>
  </r>
  <r>
    <s v="2025-73"/>
    <x v="2"/>
    <s v="chum"/>
    <m/>
    <s v="UM"/>
    <n v="69"/>
    <x v="1"/>
    <x v="1"/>
    <s v="S23124"/>
    <n v="12"/>
    <m/>
    <m/>
    <x v="0"/>
    <s v="B6"/>
    <n v="72"/>
    <m/>
    <n v="72"/>
    <m/>
    <m/>
    <m/>
    <m/>
    <m/>
    <m/>
    <m/>
    <m/>
    <m/>
    <x v="1"/>
    <m/>
  </r>
  <r>
    <s v="2025-74"/>
    <x v="2"/>
    <s v="chum"/>
    <m/>
    <s v="UM"/>
    <n v="72"/>
    <x v="1"/>
    <x v="1"/>
    <s v="S23124"/>
    <n v="13"/>
    <m/>
    <m/>
    <x v="0"/>
    <s v="C1"/>
    <n v="73"/>
    <m/>
    <n v="73"/>
    <m/>
    <m/>
    <m/>
    <m/>
    <m/>
    <m/>
    <m/>
    <m/>
    <m/>
    <x v="1"/>
    <m/>
  </r>
  <r>
    <s v="2025-75"/>
    <x v="3"/>
    <s v="chum"/>
    <m/>
    <s v="UM"/>
    <n v="69"/>
    <x v="1"/>
    <x v="1"/>
    <s v="S23127"/>
    <n v="1"/>
    <m/>
    <m/>
    <x v="0"/>
    <s v="A1"/>
    <n v="74"/>
    <m/>
    <n v="74"/>
    <m/>
    <m/>
    <m/>
    <m/>
    <m/>
    <m/>
    <m/>
    <m/>
    <m/>
    <x v="1"/>
    <m/>
  </r>
  <r>
    <s v="2025-76"/>
    <x v="3"/>
    <s v="chum"/>
    <m/>
    <s v="UM"/>
    <n v="72"/>
    <x v="1"/>
    <x v="1"/>
    <s v="S23127"/>
    <n v="2"/>
    <m/>
    <m/>
    <x v="0"/>
    <s v="A2"/>
    <n v="75"/>
    <m/>
    <n v="75"/>
    <m/>
    <m/>
    <m/>
    <m/>
    <m/>
    <m/>
    <m/>
    <m/>
    <m/>
    <x v="1"/>
    <m/>
  </r>
  <r>
    <s v="2025-77"/>
    <x v="3"/>
    <s v="chum"/>
    <m/>
    <s v="UM"/>
    <n v="67"/>
    <x v="1"/>
    <x v="1"/>
    <s v="S23127"/>
    <n v="3"/>
    <m/>
    <m/>
    <x v="0"/>
    <s v="A3"/>
    <n v="76"/>
    <m/>
    <s v="no OT"/>
    <m/>
    <m/>
    <m/>
    <m/>
    <m/>
    <m/>
    <m/>
    <m/>
    <m/>
    <x v="1"/>
    <m/>
  </r>
  <r>
    <s v="2025-78"/>
    <x v="3"/>
    <s v="chum"/>
    <m/>
    <s v="UM"/>
    <n v="69"/>
    <x v="1"/>
    <x v="1"/>
    <s v="S23127"/>
    <n v="4"/>
    <m/>
    <m/>
    <x v="0"/>
    <s v="A4"/>
    <n v="77"/>
    <m/>
    <n v="76"/>
    <m/>
    <m/>
    <m/>
    <m/>
    <m/>
    <m/>
    <m/>
    <m/>
    <m/>
    <x v="1"/>
    <m/>
  </r>
  <r>
    <s v="2025-79"/>
    <x v="3"/>
    <s v="chum"/>
    <m/>
    <s v="UM"/>
    <n v="68"/>
    <x v="1"/>
    <x v="1"/>
    <s v="S23127"/>
    <n v="5"/>
    <m/>
    <m/>
    <x v="0"/>
    <s v="A5"/>
    <n v="78"/>
    <m/>
    <n v="77"/>
    <m/>
    <m/>
    <m/>
    <m/>
    <m/>
    <m/>
    <m/>
    <m/>
    <m/>
    <x v="1"/>
    <m/>
  </r>
  <r>
    <s v="2025-80"/>
    <x v="3"/>
    <s v="chum"/>
    <m/>
    <s v="UM"/>
    <n v="70"/>
    <x v="1"/>
    <x v="1"/>
    <s v="S23127"/>
    <n v="6"/>
    <m/>
    <m/>
    <x v="0"/>
    <s v="A6"/>
    <n v="79"/>
    <m/>
    <n v="78"/>
    <m/>
    <m/>
    <m/>
    <m/>
    <m/>
    <m/>
    <m/>
    <m/>
    <m/>
    <x v="1"/>
    <m/>
  </r>
  <r>
    <s v="2025-81"/>
    <x v="3"/>
    <s v="chum"/>
    <m/>
    <s v="UM"/>
    <n v="73"/>
    <x v="1"/>
    <x v="3"/>
    <s v="S23127"/>
    <n v="20"/>
    <m/>
    <m/>
    <x v="0"/>
    <s v="E3"/>
    <n v="100"/>
    <m/>
    <n v="99"/>
    <m/>
    <m/>
    <m/>
    <m/>
    <m/>
    <m/>
    <m/>
    <m/>
    <m/>
    <x v="1"/>
    <m/>
  </r>
  <r>
    <s v="2025-82"/>
    <x v="3"/>
    <s v="chum"/>
    <m/>
    <s v="UM"/>
    <n v="70"/>
    <x v="1"/>
    <x v="1"/>
    <s v="S23128"/>
    <n v="1"/>
    <m/>
    <m/>
    <x v="0"/>
    <s v="B1"/>
    <n v="80"/>
    <m/>
    <n v="79"/>
    <m/>
    <m/>
    <m/>
    <m/>
    <m/>
    <m/>
    <m/>
    <m/>
    <m/>
    <x v="1"/>
    <m/>
  </r>
  <r>
    <s v="2025-83"/>
    <x v="3"/>
    <s v="chum"/>
    <m/>
    <s v="UM"/>
    <n v="69"/>
    <x v="1"/>
    <x v="1"/>
    <s v="S23128"/>
    <n v="2"/>
    <m/>
    <m/>
    <x v="0"/>
    <s v="B2"/>
    <n v="81"/>
    <m/>
    <n v="80"/>
    <m/>
    <m/>
    <m/>
    <m/>
    <m/>
    <m/>
    <m/>
    <m/>
    <m/>
    <x v="1"/>
    <m/>
  </r>
  <r>
    <s v="2025-84"/>
    <x v="3"/>
    <s v="chum"/>
    <m/>
    <s v="UM"/>
    <n v="75"/>
    <x v="1"/>
    <x v="1"/>
    <s v="S23128"/>
    <n v="3"/>
    <m/>
    <m/>
    <x v="0"/>
    <s v="B3"/>
    <n v="82"/>
    <m/>
    <n v="81"/>
    <m/>
    <m/>
    <m/>
    <m/>
    <m/>
    <m/>
    <m/>
    <m/>
    <m/>
    <x v="1"/>
    <m/>
  </r>
  <r>
    <s v="2025-85"/>
    <x v="3"/>
    <s v="chum"/>
    <m/>
    <s v="UM"/>
    <n v="64"/>
    <x v="1"/>
    <x v="1"/>
    <s v="S23128"/>
    <n v="4"/>
    <m/>
    <m/>
    <x v="0"/>
    <s v="B4"/>
    <n v="83"/>
    <m/>
    <n v="82"/>
    <m/>
    <m/>
    <m/>
    <m/>
    <m/>
    <m/>
    <m/>
    <m/>
    <m/>
    <x v="1"/>
    <m/>
  </r>
  <r>
    <s v="2025-86"/>
    <x v="3"/>
    <s v="chum"/>
    <m/>
    <s v="UM"/>
    <n v="72"/>
    <x v="1"/>
    <x v="1"/>
    <s v="S23128"/>
    <n v="5"/>
    <m/>
    <m/>
    <x v="0"/>
    <s v="B5"/>
    <n v="84"/>
    <m/>
    <n v="83"/>
    <m/>
    <m/>
    <m/>
    <m/>
    <m/>
    <m/>
    <m/>
    <m/>
    <m/>
    <x v="1"/>
    <m/>
  </r>
  <r>
    <s v="2025-87"/>
    <x v="3"/>
    <s v="chum"/>
    <m/>
    <s v="UM"/>
    <n v="65"/>
    <x v="1"/>
    <x v="1"/>
    <s v="S23128"/>
    <n v="6"/>
    <m/>
    <m/>
    <x v="0"/>
    <s v="B6"/>
    <n v="85"/>
    <m/>
    <n v="84"/>
    <m/>
    <m/>
    <m/>
    <m/>
    <m/>
    <m/>
    <m/>
    <m/>
    <m/>
    <x v="1"/>
    <m/>
  </r>
  <r>
    <s v="2025-88"/>
    <x v="3"/>
    <s v="chum"/>
    <m/>
    <s v="UM"/>
    <n v="69"/>
    <x v="1"/>
    <x v="1"/>
    <s v="S23128"/>
    <n v="7"/>
    <m/>
    <m/>
    <x v="0"/>
    <s v="C1"/>
    <n v="86"/>
    <m/>
    <n v="85"/>
    <m/>
    <m/>
    <m/>
    <m/>
    <m/>
    <m/>
    <m/>
    <m/>
    <m/>
    <x v="1"/>
    <m/>
  </r>
  <r>
    <s v="2025-89"/>
    <x v="3"/>
    <s v="chum"/>
    <m/>
    <s v="UM"/>
    <n v="75"/>
    <x v="1"/>
    <x v="1"/>
    <s v="S23128"/>
    <n v="8"/>
    <m/>
    <m/>
    <x v="0"/>
    <s v="C2"/>
    <n v="87"/>
    <m/>
    <n v="86"/>
    <m/>
    <m/>
    <m/>
    <m/>
    <m/>
    <m/>
    <m/>
    <m/>
    <m/>
    <x v="1"/>
    <m/>
  </r>
  <r>
    <s v="2025-90"/>
    <x v="3"/>
    <s v="chum"/>
    <m/>
    <s v="UM"/>
    <n v="63"/>
    <x v="1"/>
    <x v="1"/>
    <s v="S23128"/>
    <n v="9"/>
    <m/>
    <m/>
    <x v="0"/>
    <s v="C3"/>
    <n v="88"/>
    <m/>
    <n v="87"/>
    <m/>
    <m/>
    <m/>
    <m/>
    <m/>
    <m/>
    <m/>
    <m/>
    <m/>
    <x v="1"/>
    <m/>
  </r>
  <r>
    <s v="2025-91"/>
    <x v="3"/>
    <s v="chum"/>
    <m/>
    <s v="UM"/>
    <n v="73"/>
    <x v="1"/>
    <x v="1"/>
    <s v="S23128"/>
    <n v="10"/>
    <m/>
    <m/>
    <x v="0"/>
    <s v="C4"/>
    <n v="89"/>
    <m/>
    <n v="88"/>
    <m/>
    <m/>
    <m/>
    <m/>
    <m/>
    <m/>
    <m/>
    <m/>
    <m/>
    <x v="1"/>
    <m/>
  </r>
  <r>
    <s v="2025-92"/>
    <x v="3"/>
    <s v="chum"/>
    <m/>
    <s v="UM"/>
    <n v="71"/>
    <x v="1"/>
    <x v="1"/>
    <s v="S23128"/>
    <n v="11"/>
    <m/>
    <m/>
    <x v="0"/>
    <s v="C5"/>
    <n v="90"/>
    <m/>
    <n v="89"/>
    <m/>
    <m/>
    <m/>
    <m/>
    <m/>
    <m/>
    <m/>
    <m/>
    <m/>
    <x v="1"/>
    <m/>
  </r>
  <r>
    <s v="2025-93"/>
    <x v="3"/>
    <s v="chum"/>
    <m/>
    <s v="UM"/>
    <n v="70"/>
    <x v="1"/>
    <x v="1"/>
    <s v="S23128"/>
    <n v="12"/>
    <m/>
    <m/>
    <x v="0"/>
    <s v="C6"/>
    <n v="91"/>
    <m/>
    <n v="90"/>
    <m/>
    <m/>
    <m/>
    <m/>
    <m/>
    <m/>
    <m/>
    <m/>
    <m/>
    <x v="1"/>
    <m/>
  </r>
  <r>
    <s v="2025-94"/>
    <x v="3"/>
    <s v="chum"/>
    <m/>
    <s v="UM"/>
    <n v="78"/>
    <x v="1"/>
    <x v="1"/>
    <s v="S23128"/>
    <n v="13"/>
    <m/>
    <m/>
    <x v="0"/>
    <s v="D1"/>
    <n v="92"/>
    <m/>
    <n v="91"/>
    <m/>
    <m/>
    <m/>
    <m/>
    <m/>
    <m/>
    <m/>
    <m/>
    <m/>
    <x v="1"/>
    <m/>
  </r>
  <r>
    <s v="2025-95"/>
    <x v="3"/>
    <s v="chum"/>
    <m/>
    <s v="UM"/>
    <n v="74"/>
    <x v="1"/>
    <x v="1"/>
    <s v="S23128"/>
    <n v="14"/>
    <m/>
    <m/>
    <x v="0"/>
    <s v="D2"/>
    <n v="93"/>
    <m/>
    <n v="92"/>
    <m/>
    <m/>
    <m/>
    <m/>
    <m/>
    <m/>
    <m/>
    <m/>
    <m/>
    <x v="1"/>
    <m/>
  </r>
  <r>
    <s v="2025-96"/>
    <x v="3"/>
    <s v="chum"/>
    <m/>
    <s v="UM"/>
    <n v="75"/>
    <x v="1"/>
    <x v="1"/>
    <s v="S23128"/>
    <n v="15"/>
    <m/>
    <m/>
    <x v="0"/>
    <s v="D3"/>
    <n v="94"/>
    <m/>
    <n v="93"/>
    <m/>
    <m/>
    <m/>
    <m/>
    <m/>
    <m/>
    <m/>
    <m/>
    <m/>
    <x v="1"/>
    <m/>
  </r>
  <r>
    <s v="2025-97"/>
    <x v="3"/>
    <s v="chum"/>
    <m/>
    <s v="UM"/>
    <n v="67"/>
    <x v="1"/>
    <x v="1"/>
    <s v="S23128"/>
    <n v="16"/>
    <m/>
    <m/>
    <x v="0"/>
    <s v="D4"/>
    <n v="95"/>
    <m/>
    <n v="94"/>
    <m/>
    <m/>
    <m/>
    <m/>
    <m/>
    <m/>
    <m/>
    <m/>
    <m/>
    <x v="1"/>
    <m/>
  </r>
  <r>
    <s v="2025-98"/>
    <x v="3"/>
    <s v="chum"/>
    <m/>
    <s v="UM"/>
    <n v="75"/>
    <x v="1"/>
    <x v="1"/>
    <s v="S23128"/>
    <n v="17"/>
    <m/>
    <m/>
    <x v="0"/>
    <s v="D5"/>
    <n v="96"/>
    <m/>
    <n v="95"/>
    <m/>
    <m/>
    <m/>
    <m/>
    <m/>
    <m/>
    <m/>
    <m/>
    <m/>
    <x v="1"/>
    <m/>
  </r>
  <r>
    <s v="2025-99"/>
    <x v="3"/>
    <s v="chum"/>
    <m/>
    <s v="UM"/>
    <n v="69"/>
    <x v="1"/>
    <x v="1"/>
    <s v="S23128"/>
    <n v="18"/>
    <m/>
    <m/>
    <x v="0"/>
    <s v="D6"/>
    <n v="97"/>
    <m/>
    <n v="96"/>
    <m/>
    <m/>
    <m/>
    <m/>
    <m/>
    <m/>
    <m/>
    <m/>
    <m/>
    <x v="1"/>
    <m/>
  </r>
  <r>
    <s v="2025-100"/>
    <x v="3"/>
    <s v="chum"/>
    <m/>
    <s v="UM"/>
    <n v="79"/>
    <x v="1"/>
    <x v="1"/>
    <s v="S23128"/>
    <n v="19"/>
    <m/>
    <m/>
    <x v="0"/>
    <s v="E1"/>
    <n v="98"/>
    <m/>
    <n v="97"/>
    <m/>
    <m/>
    <m/>
    <m/>
    <m/>
    <m/>
    <m/>
    <m/>
    <m/>
    <x v="1"/>
    <m/>
  </r>
  <r>
    <s v="2025-101"/>
    <x v="3"/>
    <s v="chum"/>
    <m/>
    <s v="UM"/>
    <n v="81"/>
    <x v="1"/>
    <x v="3"/>
    <s v="S23128"/>
    <n v="20"/>
    <m/>
    <m/>
    <x v="0"/>
    <s v="E2"/>
    <n v="99"/>
    <m/>
    <n v="98"/>
    <m/>
    <m/>
    <m/>
    <m/>
    <m/>
    <m/>
    <m/>
    <m/>
    <m/>
    <x v="1"/>
    <m/>
  </r>
  <r>
    <s v="2025-102"/>
    <x v="3"/>
    <s v="chum"/>
    <m/>
    <s v="UM"/>
    <n v="72"/>
    <x v="0"/>
    <x v="1"/>
    <s v="S23133"/>
    <n v="1"/>
    <m/>
    <m/>
    <x v="0"/>
    <s v="E4"/>
    <s v="no DNA"/>
    <m/>
    <n v="100"/>
    <m/>
    <m/>
    <m/>
    <m/>
    <m/>
    <m/>
    <m/>
    <m/>
    <m/>
    <x v="1"/>
    <m/>
  </r>
  <r>
    <s v="2025-103"/>
    <x v="3"/>
    <s v="chum"/>
    <m/>
    <s v="UM"/>
    <n v="77"/>
    <x v="0"/>
    <x v="1"/>
    <s v="S23133"/>
    <n v="2"/>
    <m/>
    <m/>
    <x v="0"/>
    <s v="E5"/>
    <n v="101"/>
    <m/>
    <n v="101"/>
    <m/>
    <m/>
    <m/>
    <m/>
    <m/>
    <m/>
    <m/>
    <m/>
    <m/>
    <x v="1"/>
    <m/>
  </r>
  <r>
    <s v="2025-104"/>
    <x v="3"/>
    <s v="chum"/>
    <m/>
    <s v="UM"/>
    <n v="73"/>
    <x v="0"/>
    <x v="1"/>
    <s v="S23133"/>
    <n v="3"/>
    <m/>
    <m/>
    <x v="0"/>
    <s v="E6"/>
    <n v="102"/>
    <m/>
    <n v="102"/>
    <m/>
    <m/>
    <m/>
    <m/>
    <m/>
    <m/>
    <m/>
    <m/>
    <m/>
    <x v="1"/>
    <m/>
  </r>
  <r>
    <s v="2025-105"/>
    <x v="3"/>
    <s v="chum"/>
    <m/>
    <s v="UM"/>
    <n v="78"/>
    <x v="0"/>
    <x v="1"/>
    <s v="S23133"/>
    <n v="4"/>
    <m/>
    <m/>
    <x v="0"/>
    <s v="A1"/>
    <n v="103"/>
    <m/>
    <n v="103"/>
    <m/>
    <m/>
    <m/>
    <m/>
    <m/>
    <m/>
    <m/>
    <m/>
    <m/>
    <x v="1"/>
    <m/>
  </r>
  <r>
    <s v="2025-106"/>
    <x v="3"/>
    <s v="chum"/>
    <m/>
    <s v="UM"/>
    <n v="74"/>
    <x v="0"/>
    <x v="1"/>
    <s v="S23133"/>
    <n v="5"/>
    <m/>
    <m/>
    <x v="0"/>
    <s v="A2"/>
    <n v="104"/>
    <m/>
    <n v="104"/>
    <m/>
    <m/>
    <m/>
    <m/>
    <m/>
    <m/>
    <m/>
    <m/>
    <m/>
    <x v="1"/>
    <m/>
  </r>
  <r>
    <s v="2025-107"/>
    <x v="3"/>
    <s v="chum"/>
    <m/>
    <s v="UM"/>
    <n v="78"/>
    <x v="0"/>
    <x v="1"/>
    <s v="S23133"/>
    <n v="6"/>
    <m/>
    <m/>
    <x v="0"/>
    <s v="A3"/>
    <n v="105"/>
    <m/>
    <n v="105"/>
    <m/>
    <m/>
    <m/>
    <m/>
    <m/>
    <m/>
    <m/>
    <m/>
    <m/>
    <x v="1"/>
    <m/>
  </r>
  <r>
    <s v="2025-108"/>
    <x v="3"/>
    <s v="chum"/>
    <m/>
    <s v="UM"/>
    <n v="79"/>
    <x v="0"/>
    <x v="1"/>
    <s v="S23133"/>
    <n v="7"/>
    <m/>
    <m/>
    <x v="0"/>
    <s v="A4"/>
    <n v="106"/>
    <m/>
    <n v="106"/>
    <m/>
    <m/>
    <m/>
    <m/>
    <m/>
    <m/>
    <m/>
    <m/>
    <m/>
    <x v="1"/>
    <m/>
  </r>
  <r>
    <s v="2025-109"/>
    <x v="3"/>
    <s v="chum"/>
    <m/>
    <s v="UM"/>
    <n v="74"/>
    <x v="0"/>
    <x v="1"/>
    <s v="S23133"/>
    <n v="8"/>
    <m/>
    <m/>
    <x v="0"/>
    <s v="A5"/>
    <n v="107"/>
    <m/>
    <n v="107"/>
    <m/>
    <m/>
    <m/>
    <m/>
    <m/>
    <m/>
    <m/>
    <m/>
    <m/>
    <x v="1"/>
    <m/>
  </r>
  <r>
    <s v="2025-110"/>
    <x v="3"/>
    <s v="chum"/>
    <m/>
    <s v="UM"/>
    <n v="72"/>
    <x v="0"/>
    <x v="1"/>
    <s v="S23133"/>
    <n v="9"/>
    <m/>
    <m/>
    <x v="0"/>
    <s v="A6"/>
    <n v="108"/>
    <m/>
    <n v="108"/>
    <m/>
    <m/>
    <m/>
    <m/>
    <m/>
    <m/>
    <m/>
    <m/>
    <m/>
    <x v="1"/>
    <m/>
  </r>
  <r>
    <s v="2025-111"/>
    <x v="3"/>
    <s v="chum"/>
    <m/>
    <s v="UM"/>
    <n v="80"/>
    <x v="0"/>
    <x v="1"/>
    <s v="S23133"/>
    <n v="10"/>
    <m/>
    <m/>
    <x v="0"/>
    <s v="B1"/>
    <n v="109"/>
    <m/>
    <n v="109"/>
    <m/>
    <m/>
    <m/>
    <m/>
    <m/>
    <m/>
    <m/>
    <m/>
    <m/>
    <x v="1"/>
    <m/>
  </r>
  <r>
    <s v="2025-112"/>
    <x v="3"/>
    <s v="chum"/>
    <m/>
    <s v="UM"/>
    <n v="83"/>
    <x v="0"/>
    <x v="1"/>
    <s v="S23133"/>
    <n v="11"/>
    <m/>
    <m/>
    <x v="0"/>
    <s v="B2"/>
    <n v="110"/>
    <m/>
    <n v="110"/>
    <m/>
    <m/>
    <m/>
    <m/>
    <m/>
    <m/>
    <m/>
    <m/>
    <m/>
    <x v="1"/>
    <m/>
  </r>
  <r>
    <s v="2025-113"/>
    <x v="3"/>
    <s v="chum"/>
    <m/>
    <s v="UM"/>
    <n v="77"/>
    <x v="0"/>
    <x v="1"/>
    <s v="S23133"/>
    <n v="12"/>
    <m/>
    <m/>
    <x v="0"/>
    <s v="B3"/>
    <n v="111"/>
    <m/>
    <n v="111"/>
    <m/>
    <m/>
    <m/>
    <m/>
    <m/>
    <m/>
    <m/>
    <m/>
    <m/>
    <x v="1"/>
    <m/>
  </r>
  <r>
    <s v="2025-114"/>
    <x v="3"/>
    <s v="chum"/>
    <m/>
    <s v="UM"/>
    <n v="85"/>
    <x v="0"/>
    <x v="1"/>
    <s v="S23133"/>
    <n v="13"/>
    <m/>
    <m/>
    <x v="0"/>
    <s v="B4"/>
    <n v="112"/>
    <m/>
    <n v="112"/>
    <m/>
    <m/>
    <m/>
    <m/>
    <m/>
    <m/>
    <m/>
    <m/>
    <m/>
    <x v="1"/>
    <m/>
  </r>
  <r>
    <s v="2025-115"/>
    <x v="3"/>
    <s v="chum"/>
    <m/>
    <s v="UM"/>
    <n v="69"/>
    <x v="0"/>
    <x v="1"/>
    <s v="S23133"/>
    <n v="14"/>
    <m/>
    <m/>
    <x v="0"/>
    <s v="B5"/>
    <n v="113"/>
    <m/>
    <n v="113"/>
    <m/>
    <m/>
    <m/>
    <m/>
    <m/>
    <m/>
    <m/>
    <m/>
    <m/>
    <x v="1"/>
    <m/>
  </r>
  <r>
    <s v="2025-116"/>
    <x v="3"/>
    <s v="chum"/>
    <m/>
    <s v="UM"/>
    <n v="80"/>
    <x v="0"/>
    <x v="1"/>
    <s v="S23133"/>
    <n v="15"/>
    <m/>
    <m/>
    <x v="0"/>
    <s v="B6"/>
    <n v="114"/>
    <m/>
    <n v="114"/>
    <m/>
    <m/>
    <m/>
    <m/>
    <m/>
    <m/>
    <m/>
    <m/>
    <m/>
    <x v="1"/>
    <m/>
  </r>
  <r>
    <s v="2025-117"/>
    <x v="3"/>
    <s v="chum"/>
    <m/>
    <s v="UM"/>
    <n v="75"/>
    <x v="0"/>
    <x v="1"/>
    <s v="S23133"/>
    <n v="16"/>
    <m/>
    <m/>
    <x v="0"/>
    <s v="C1"/>
    <n v="115"/>
    <m/>
    <n v="116"/>
    <m/>
    <m/>
    <m/>
    <m/>
    <m/>
    <m/>
    <m/>
    <m/>
    <m/>
    <x v="1"/>
    <m/>
  </r>
  <r>
    <s v="2025-118"/>
    <x v="3"/>
    <s v="chum"/>
    <m/>
    <s v="UM"/>
    <n v="73"/>
    <x v="0"/>
    <x v="1"/>
    <s v="S23133"/>
    <n v="17"/>
    <m/>
    <m/>
    <x v="0"/>
    <s v="C2"/>
    <n v="116"/>
    <m/>
    <s v="no OT"/>
    <m/>
    <m/>
    <m/>
    <m/>
    <m/>
    <m/>
    <m/>
    <m/>
    <m/>
    <x v="1"/>
    <m/>
  </r>
  <r>
    <s v="2025-119"/>
    <x v="3"/>
    <s v="chum"/>
    <m/>
    <s v="UM"/>
    <n v="66"/>
    <x v="0"/>
    <x v="1"/>
    <s v="S23133"/>
    <n v="18"/>
    <m/>
    <m/>
    <x v="0"/>
    <s v="C3"/>
    <n v="117"/>
    <m/>
    <n v="118"/>
    <m/>
    <m/>
    <m/>
    <m/>
    <m/>
    <m/>
    <m/>
    <m/>
    <m/>
    <x v="1"/>
    <m/>
  </r>
  <r>
    <s v="2025-120"/>
    <x v="3"/>
    <s v="chum"/>
    <m/>
    <s v="UM"/>
    <n v="75"/>
    <x v="0"/>
    <x v="1"/>
    <s v="S23133"/>
    <n v="19"/>
    <m/>
    <m/>
    <x v="0"/>
    <s v="C4"/>
    <n v="118"/>
    <m/>
    <n v="121"/>
    <m/>
    <m/>
    <m/>
    <m/>
    <m/>
    <m/>
    <m/>
    <m/>
    <m/>
    <x v="1"/>
    <m/>
  </r>
  <r>
    <s v="2025-121"/>
    <x v="3"/>
    <s v="chum"/>
    <m/>
    <s v="UM"/>
    <n v="78"/>
    <x v="0"/>
    <x v="1"/>
    <s v="S23133"/>
    <n v="20"/>
    <m/>
    <m/>
    <x v="0"/>
    <s v="C5"/>
    <n v="119"/>
    <m/>
    <n v="122"/>
    <m/>
    <m/>
    <m/>
    <m/>
    <m/>
    <m/>
    <m/>
    <m/>
    <m/>
    <x v="1"/>
    <m/>
  </r>
  <r>
    <s v="2025-122"/>
    <x v="3"/>
    <s v="chum"/>
    <m/>
    <s v="UM"/>
    <n v="73"/>
    <x v="0"/>
    <x v="1"/>
    <s v="S23125"/>
    <n v="1"/>
    <m/>
    <m/>
    <x v="0"/>
    <s v="C6"/>
    <n v="120"/>
    <m/>
    <n v="124"/>
    <m/>
    <m/>
    <m/>
    <m/>
    <m/>
    <m/>
    <m/>
    <m/>
    <m/>
    <x v="1"/>
    <m/>
  </r>
  <r>
    <s v="2025-123"/>
    <x v="3"/>
    <s v="chum"/>
    <m/>
    <s v="UM"/>
    <n v="71"/>
    <x v="0"/>
    <x v="1"/>
    <s v="S23125"/>
    <n v="2"/>
    <m/>
    <m/>
    <x v="0"/>
    <s v="D1"/>
    <n v="121"/>
    <m/>
    <n v="126"/>
    <m/>
    <m/>
    <m/>
    <m/>
    <m/>
    <m/>
    <m/>
    <m/>
    <m/>
    <x v="1"/>
    <m/>
  </r>
  <r>
    <s v="2025-124"/>
    <x v="3"/>
    <s v="chum"/>
    <m/>
    <s v="UM"/>
    <n v="76"/>
    <x v="0"/>
    <x v="1"/>
    <s v="S23125"/>
    <n v="3"/>
    <m/>
    <m/>
    <x v="0"/>
    <s v="D2"/>
    <n v="122"/>
    <m/>
    <n v="128"/>
    <m/>
    <m/>
    <m/>
    <m/>
    <m/>
    <m/>
    <m/>
    <m/>
    <m/>
    <x v="1"/>
    <m/>
  </r>
  <r>
    <s v="2025-125"/>
    <x v="3"/>
    <s v="chum"/>
    <m/>
    <s v="UM"/>
    <n v="83"/>
    <x v="0"/>
    <x v="1"/>
    <s v="S23125"/>
    <n v="4"/>
    <m/>
    <m/>
    <x v="0"/>
    <s v="D3"/>
    <n v="123"/>
    <m/>
    <n v="130"/>
    <m/>
    <m/>
    <m/>
    <m/>
    <m/>
    <m/>
    <m/>
    <m/>
    <m/>
    <x v="1"/>
    <m/>
  </r>
  <r>
    <s v="2025-126"/>
    <x v="3"/>
    <s v="chum"/>
    <m/>
    <s v="UM"/>
    <n v="64"/>
    <x v="0"/>
    <x v="1"/>
    <s v="S23125"/>
    <n v="5"/>
    <m/>
    <m/>
    <x v="0"/>
    <s v="D4"/>
    <n v="124"/>
    <m/>
    <n v="132"/>
    <m/>
    <m/>
    <m/>
    <m/>
    <m/>
    <m/>
    <m/>
    <m/>
    <m/>
    <x v="1"/>
    <m/>
  </r>
  <r>
    <s v="2025-127"/>
    <x v="3"/>
    <s v="chum"/>
    <m/>
    <s v="UM"/>
    <n v="79"/>
    <x v="0"/>
    <x v="1"/>
    <s v="S23125"/>
    <n v="6"/>
    <m/>
    <m/>
    <x v="0"/>
    <s v="D5"/>
    <n v="125"/>
    <m/>
    <n v="133"/>
    <m/>
    <m/>
    <m/>
    <m/>
    <m/>
    <m/>
    <m/>
    <m/>
    <m/>
    <x v="1"/>
    <m/>
  </r>
  <r>
    <s v="2025-128"/>
    <x v="3"/>
    <s v="chum"/>
    <m/>
    <s v="UM"/>
    <n v="69"/>
    <x v="0"/>
    <x v="2"/>
    <s v="S23125"/>
    <n v="7"/>
    <m/>
    <m/>
    <x v="0"/>
    <s v="D6"/>
    <n v="126"/>
    <m/>
    <n v="135"/>
    <m/>
    <m/>
    <m/>
    <m/>
    <m/>
    <m/>
    <m/>
    <m/>
    <m/>
    <x v="1"/>
    <m/>
  </r>
  <r>
    <s v="2025-129"/>
    <x v="3"/>
    <s v="chum"/>
    <m/>
    <s v="UM"/>
    <n v="69"/>
    <x v="1"/>
    <x v="0"/>
    <s v="S23125"/>
    <n v="8"/>
    <m/>
    <m/>
    <x v="0"/>
    <s v="E1"/>
    <n v="127"/>
    <m/>
    <n v="138"/>
    <m/>
    <m/>
    <m/>
    <m/>
    <m/>
    <m/>
    <m/>
    <m/>
    <m/>
    <x v="1"/>
    <m/>
  </r>
  <r>
    <s v="2025-130"/>
    <x v="3"/>
    <s v="chum"/>
    <m/>
    <s v="UM"/>
    <n v="78"/>
    <x v="0"/>
    <x v="0"/>
    <s v="S23125"/>
    <n v="9"/>
    <m/>
    <m/>
    <x v="0"/>
    <s v="E2"/>
    <n v="128"/>
    <m/>
    <n v="139"/>
    <m/>
    <m/>
    <m/>
    <m/>
    <m/>
    <m/>
    <m/>
    <m/>
    <m/>
    <x v="1"/>
    <m/>
  </r>
  <r>
    <s v="2025-131"/>
    <x v="3"/>
    <s v="chum"/>
    <m/>
    <s v="UM"/>
    <n v="69"/>
    <x v="0"/>
    <x v="1"/>
    <s v="S23125"/>
    <n v="10"/>
    <m/>
    <m/>
    <x v="0"/>
    <s v="E3"/>
    <n v="129"/>
    <m/>
    <n v="142"/>
    <m/>
    <m/>
    <m/>
    <m/>
    <m/>
    <m/>
    <m/>
    <m/>
    <m/>
    <x v="0"/>
    <m/>
  </r>
  <r>
    <s v="2025-132"/>
    <x v="3"/>
    <s v="chum"/>
    <m/>
    <s v="UM"/>
    <n v="71"/>
    <x v="0"/>
    <x v="1"/>
    <s v="S23125"/>
    <n v="11"/>
    <m/>
    <m/>
    <x v="0"/>
    <s v="E4"/>
    <n v="130"/>
    <m/>
    <n v="144"/>
    <m/>
    <m/>
    <m/>
    <m/>
    <m/>
    <m/>
    <m/>
    <m/>
    <m/>
    <x v="0"/>
    <m/>
  </r>
  <r>
    <s v="2025-133"/>
    <x v="3"/>
    <s v="chum"/>
    <m/>
    <s v="UM"/>
    <n v="72"/>
    <x v="1"/>
    <x v="1"/>
    <s v="S23125"/>
    <n v="12"/>
    <m/>
    <m/>
    <x v="0"/>
    <s v="E5"/>
    <n v="131"/>
    <m/>
    <n v="146"/>
    <m/>
    <m/>
    <m/>
    <m/>
    <m/>
    <m/>
    <m/>
    <m/>
    <m/>
    <x v="0"/>
    <m/>
  </r>
  <r>
    <s v="2025-134"/>
    <x v="3"/>
    <s v="chum"/>
    <m/>
    <s v="UM"/>
    <n v="75"/>
    <x v="1"/>
    <x v="1"/>
    <s v="S23125"/>
    <n v="13"/>
    <m/>
    <m/>
    <x v="0"/>
    <s v="E6"/>
    <n v="132"/>
    <m/>
    <n v="148"/>
    <m/>
    <m/>
    <m/>
    <m/>
    <m/>
    <m/>
    <m/>
    <m/>
    <m/>
    <x v="0"/>
    <m/>
  </r>
  <r>
    <s v="2025-135"/>
    <x v="3"/>
    <s v="chum"/>
    <m/>
    <s v="UM"/>
    <n v="76"/>
    <x v="0"/>
    <x v="1"/>
    <s v="S23125"/>
    <n v="14"/>
    <m/>
    <m/>
    <x v="0"/>
    <s v="A1"/>
    <n v="133"/>
    <m/>
    <s v="no OT"/>
    <m/>
    <m/>
    <m/>
    <m/>
    <m/>
    <m/>
    <m/>
    <m/>
    <m/>
    <x v="0"/>
    <m/>
  </r>
  <r>
    <s v="2025-136"/>
    <x v="3"/>
    <s v="chum"/>
    <m/>
    <s v="UM"/>
    <n v="66"/>
    <x v="0"/>
    <x v="1"/>
    <s v="S23125"/>
    <n v="15"/>
    <m/>
    <m/>
    <x v="0"/>
    <s v="A2"/>
    <n v="134"/>
    <m/>
    <n v="153"/>
    <m/>
    <m/>
    <m/>
    <m/>
    <m/>
    <m/>
    <m/>
    <m/>
    <m/>
    <x v="0"/>
    <m/>
  </r>
  <r>
    <s v="2025-137"/>
    <x v="3"/>
    <s v="chum"/>
    <m/>
    <s v="UM"/>
    <n v="78"/>
    <x v="0"/>
    <x v="1"/>
    <s v="S23125"/>
    <n v="16"/>
    <m/>
    <m/>
    <x v="0"/>
    <s v="A3"/>
    <n v="135"/>
    <m/>
    <n v="154"/>
    <m/>
    <m/>
    <m/>
    <m/>
    <m/>
    <m/>
    <m/>
    <m/>
    <m/>
    <x v="0"/>
    <m/>
  </r>
  <r>
    <s v="2025-138"/>
    <x v="3"/>
    <s v="chum"/>
    <m/>
    <s v="UM"/>
    <n v="72"/>
    <x v="0"/>
    <x v="1"/>
    <s v="S23125"/>
    <n v="17"/>
    <m/>
    <m/>
    <x v="0"/>
    <s v="A4"/>
    <n v="136"/>
    <m/>
    <n v="155"/>
    <m/>
    <m/>
    <m/>
    <m/>
    <m/>
    <m/>
    <m/>
    <m/>
    <m/>
    <x v="0"/>
    <m/>
  </r>
  <r>
    <s v="2025-139"/>
    <x v="3"/>
    <s v="chum"/>
    <m/>
    <s v="UM"/>
    <n v="80"/>
    <x v="0"/>
    <x v="1"/>
    <s v="S23125"/>
    <n v="18"/>
    <m/>
    <m/>
    <x v="0"/>
    <s v="A5"/>
    <n v="137"/>
    <m/>
    <n v="157"/>
    <m/>
    <m/>
    <m/>
    <m/>
    <m/>
    <m/>
    <m/>
    <m/>
    <m/>
    <x v="0"/>
    <m/>
  </r>
  <r>
    <s v="2025-140"/>
    <x v="3"/>
    <s v="chum"/>
    <m/>
    <s v="UM"/>
    <n v="83"/>
    <x v="0"/>
    <x v="1"/>
    <s v="S23125"/>
    <n v="19"/>
    <m/>
    <m/>
    <x v="0"/>
    <s v="A6"/>
    <n v="138"/>
    <m/>
    <s v="no OT"/>
    <m/>
    <m/>
    <m/>
    <m/>
    <m/>
    <m/>
    <m/>
    <m/>
    <m/>
    <x v="0"/>
    <m/>
  </r>
  <r>
    <s v="2025-141"/>
    <x v="3"/>
    <s v="chum"/>
    <m/>
    <s v="UM"/>
    <n v="70"/>
    <x v="1"/>
    <x v="1"/>
    <s v="S23125"/>
    <n v="20"/>
    <m/>
    <m/>
    <x v="0"/>
    <s v="B6"/>
    <n v="139"/>
    <m/>
    <n v="165"/>
    <m/>
    <m/>
    <m/>
    <m/>
    <m/>
    <m/>
    <m/>
    <m/>
    <m/>
    <x v="2"/>
    <m/>
  </r>
  <r>
    <s v="2025-142"/>
    <x v="3"/>
    <s v="chum"/>
    <m/>
    <s v="UM"/>
    <n v="66"/>
    <x v="0"/>
    <x v="2"/>
    <s v="S23130"/>
    <n v="1"/>
    <m/>
    <m/>
    <x v="0"/>
    <s v="B1"/>
    <n v="140"/>
    <m/>
    <n v="151"/>
    <m/>
    <m/>
    <m/>
    <m/>
    <m/>
    <m/>
    <m/>
    <m/>
    <m/>
    <x v="2"/>
    <m/>
  </r>
  <r>
    <s v="2025-143"/>
    <x v="3"/>
    <s v="chum"/>
    <m/>
    <s v="UM"/>
    <n v="67"/>
    <x v="0"/>
    <x v="2"/>
    <s v="S23130"/>
    <n v="2"/>
    <m/>
    <m/>
    <x v="0"/>
    <s v="B2"/>
    <n v="141"/>
    <m/>
    <n v="161"/>
    <m/>
    <m/>
    <m/>
    <m/>
    <m/>
    <m/>
    <m/>
    <m/>
    <m/>
    <x v="2"/>
    <m/>
  </r>
  <r>
    <s v="2025-144"/>
    <x v="3"/>
    <s v="chum"/>
    <m/>
    <s v="UM"/>
    <n v="78"/>
    <x v="0"/>
    <x v="2"/>
    <s v="S23130"/>
    <n v="3"/>
    <m/>
    <m/>
    <x v="0"/>
    <s v="B3"/>
    <n v="142"/>
    <m/>
    <n v="162"/>
    <m/>
    <m/>
    <m/>
    <m/>
    <m/>
    <m/>
    <m/>
    <m/>
    <m/>
    <x v="2"/>
    <m/>
  </r>
  <r>
    <s v="2025-145"/>
    <x v="3"/>
    <s v="chum"/>
    <m/>
    <s v="UM"/>
    <n v="74"/>
    <x v="0"/>
    <x v="2"/>
    <s v="S23130"/>
    <n v="4"/>
    <m/>
    <m/>
    <x v="0"/>
    <s v="B4"/>
    <n v="143"/>
    <m/>
    <n v="167"/>
    <m/>
    <m/>
    <m/>
    <m/>
    <m/>
    <m/>
    <m/>
    <m/>
    <m/>
    <x v="2"/>
    <m/>
  </r>
  <r>
    <s v="2025-146"/>
    <x v="3"/>
    <s v="chum"/>
    <m/>
    <s v="UM"/>
    <n v="74"/>
    <x v="0"/>
    <x v="1"/>
    <s v="S23132"/>
    <n v="1"/>
    <m/>
    <m/>
    <x v="0"/>
    <s v="A1"/>
    <n v="144"/>
    <m/>
    <n v="117"/>
    <m/>
    <m/>
    <m/>
    <m/>
    <m/>
    <m/>
    <m/>
    <m/>
    <m/>
    <x v="2"/>
    <m/>
  </r>
  <r>
    <s v="2025-147"/>
    <x v="3"/>
    <s v="chum"/>
    <m/>
    <s v="UM"/>
    <n v="64"/>
    <x v="0"/>
    <x v="1"/>
    <s v="S23132"/>
    <n v="2"/>
    <m/>
    <m/>
    <x v="0"/>
    <s v="A2"/>
    <n v="145"/>
    <m/>
    <n v="119"/>
    <m/>
    <m/>
    <m/>
    <m/>
    <m/>
    <m/>
    <m/>
    <m/>
    <m/>
    <x v="2"/>
    <m/>
  </r>
  <r>
    <m/>
    <x v="3"/>
    <s v="chum"/>
    <m/>
    <s v="UM"/>
    <n v="74"/>
    <x v="0"/>
    <x v="1"/>
    <s v="S23132"/>
    <n v="3"/>
    <m/>
    <m/>
    <x v="0"/>
    <s v="A3"/>
    <n v="146"/>
    <m/>
    <n v="120"/>
    <m/>
    <m/>
    <m/>
    <m/>
    <m/>
    <m/>
    <m/>
    <m/>
    <m/>
    <x v="2"/>
    <m/>
  </r>
  <r>
    <m/>
    <x v="3"/>
    <s v="chum"/>
    <m/>
    <s v="UM"/>
    <n v="73"/>
    <x v="0"/>
    <x v="1"/>
    <s v="S23132"/>
    <n v="4"/>
    <m/>
    <m/>
    <x v="0"/>
    <s v="A4"/>
    <n v="147"/>
    <m/>
    <n v="123"/>
    <m/>
    <m/>
    <m/>
    <m/>
    <m/>
    <m/>
    <m/>
    <m/>
    <m/>
    <x v="2"/>
    <m/>
  </r>
  <r>
    <m/>
    <x v="3"/>
    <s v="chum"/>
    <m/>
    <s v="UM"/>
    <n v="72"/>
    <x v="0"/>
    <x v="1"/>
    <s v="S23132"/>
    <n v="5"/>
    <m/>
    <m/>
    <x v="0"/>
    <s v="A5"/>
    <n v="148"/>
    <m/>
    <n v="125"/>
    <m/>
    <m/>
    <m/>
    <m/>
    <m/>
    <m/>
    <m/>
    <m/>
    <m/>
    <x v="2"/>
    <m/>
  </r>
  <r>
    <m/>
    <x v="3"/>
    <s v="chum"/>
    <m/>
    <s v="UM"/>
    <n v="77"/>
    <x v="1"/>
    <x v="1"/>
    <s v="S23132"/>
    <n v="6"/>
    <m/>
    <m/>
    <x v="0"/>
    <s v="A6"/>
    <n v="149"/>
    <m/>
    <n v="127"/>
    <m/>
    <m/>
    <m/>
    <m/>
    <m/>
    <m/>
    <m/>
    <m/>
    <m/>
    <x v="2"/>
    <m/>
  </r>
  <r>
    <m/>
    <x v="3"/>
    <s v="chum"/>
    <m/>
    <s v="UM"/>
    <n v="73"/>
    <x v="1"/>
    <x v="1"/>
    <s v="S23132"/>
    <n v="7"/>
    <m/>
    <m/>
    <x v="0"/>
    <s v="B1"/>
    <n v="150"/>
    <m/>
    <n v="129"/>
    <m/>
    <m/>
    <m/>
    <m/>
    <m/>
    <m/>
    <m/>
    <m/>
    <m/>
    <x v="2"/>
    <m/>
  </r>
  <r>
    <m/>
    <x v="3"/>
    <s v="chum"/>
    <m/>
    <s v="UM"/>
    <n v="67"/>
    <x v="1"/>
    <x v="1"/>
    <s v="S23132"/>
    <n v="8"/>
    <m/>
    <m/>
    <x v="0"/>
    <s v="B2"/>
    <n v="151"/>
    <m/>
    <n v="131"/>
    <m/>
    <m/>
    <m/>
    <m/>
    <m/>
    <m/>
    <m/>
    <m/>
    <m/>
    <x v="2"/>
    <m/>
  </r>
  <r>
    <m/>
    <x v="3"/>
    <s v="chum"/>
    <m/>
    <s v="UM"/>
    <n v="64"/>
    <x v="1"/>
    <x v="1"/>
    <s v="S23132"/>
    <n v="9"/>
    <m/>
    <m/>
    <x v="0"/>
    <s v="B3"/>
    <n v="152"/>
    <m/>
    <n v="134"/>
    <m/>
    <m/>
    <m/>
    <m/>
    <m/>
    <m/>
    <m/>
    <m/>
    <m/>
    <x v="2"/>
    <m/>
  </r>
  <r>
    <m/>
    <x v="3"/>
    <s v="chum"/>
    <m/>
    <s v="UM"/>
    <n v="81"/>
    <x v="1"/>
    <x v="1"/>
    <s v="S23132"/>
    <n v="10"/>
    <m/>
    <m/>
    <x v="0"/>
    <s v="B4"/>
    <n v="153"/>
    <m/>
    <n v="137"/>
    <m/>
    <m/>
    <m/>
    <m/>
    <m/>
    <m/>
    <m/>
    <m/>
    <m/>
    <x v="0"/>
    <m/>
  </r>
  <r>
    <m/>
    <x v="3"/>
    <s v="chum"/>
    <m/>
    <s v="UM"/>
    <n v="75"/>
    <x v="0"/>
    <x v="1"/>
    <s v="S23132"/>
    <n v="11"/>
    <m/>
    <m/>
    <x v="0"/>
    <s v="B5"/>
    <n v="154"/>
    <m/>
    <n v="136"/>
    <m/>
    <m/>
    <m/>
    <m/>
    <m/>
    <m/>
    <m/>
    <m/>
    <m/>
    <x v="0"/>
    <m/>
  </r>
  <r>
    <m/>
    <x v="3"/>
    <s v="chum"/>
    <m/>
    <s v="UM"/>
    <n v="70"/>
    <x v="0"/>
    <x v="1"/>
    <s v="S23132"/>
    <n v="12"/>
    <m/>
    <m/>
    <x v="0"/>
    <s v="B6"/>
    <n v="155"/>
    <m/>
    <n v="140"/>
    <m/>
    <m/>
    <m/>
    <m/>
    <m/>
    <m/>
    <m/>
    <m/>
    <m/>
    <x v="0"/>
    <m/>
  </r>
  <r>
    <m/>
    <x v="3"/>
    <s v="chum"/>
    <m/>
    <s v="UM"/>
    <n v="72"/>
    <x v="1"/>
    <x v="1"/>
    <s v="S23132"/>
    <n v="13"/>
    <m/>
    <m/>
    <x v="0"/>
    <s v="C1"/>
    <n v="156"/>
    <m/>
    <n v="141"/>
    <m/>
    <m/>
    <m/>
    <m/>
    <m/>
    <m/>
    <m/>
    <m/>
    <m/>
    <x v="0"/>
    <m/>
  </r>
  <r>
    <m/>
    <x v="3"/>
    <s v="chum"/>
    <m/>
    <s v="UM"/>
    <n v="67"/>
    <x v="1"/>
    <x v="1"/>
    <s v="S23132"/>
    <n v="14"/>
    <m/>
    <m/>
    <x v="0"/>
    <s v="C2"/>
    <n v="157"/>
    <m/>
    <n v="143"/>
    <m/>
    <m/>
    <m/>
    <m/>
    <m/>
    <m/>
    <m/>
    <m/>
    <m/>
    <x v="0"/>
    <m/>
  </r>
  <r>
    <m/>
    <x v="3"/>
    <s v="chum"/>
    <m/>
    <s v="UM"/>
    <n v="73"/>
    <x v="1"/>
    <x v="1"/>
    <s v="S23132"/>
    <n v="15"/>
    <m/>
    <m/>
    <x v="0"/>
    <s v="C3"/>
    <n v="158"/>
    <m/>
    <n v="145"/>
    <m/>
    <m/>
    <m/>
    <m/>
    <m/>
    <m/>
    <m/>
    <m/>
    <m/>
    <x v="0"/>
    <m/>
  </r>
  <r>
    <m/>
    <x v="3"/>
    <s v="chum"/>
    <m/>
    <s v="UM"/>
    <n v="65"/>
    <x v="1"/>
    <x v="1"/>
    <s v="S23132"/>
    <n v="16"/>
    <m/>
    <m/>
    <x v="0"/>
    <s v="C4"/>
    <n v="159"/>
    <m/>
    <n v="147"/>
    <m/>
    <m/>
    <m/>
    <m/>
    <m/>
    <m/>
    <m/>
    <m/>
    <m/>
    <x v="0"/>
    <m/>
  </r>
  <r>
    <m/>
    <x v="3"/>
    <s v="chum"/>
    <m/>
    <s v="UM"/>
    <n v="76"/>
    <x v="1"/>
    <x v="1"/>
    <s v="S23132"/>
    <n v="17"/>
    <m/>
    <m/>
    <x v="0"/>
    <s v="C5"/>
    <n v="160"/>
    <m/>
    <n v="149"/>
    <m/>
    <m/>
    <m/>
    <m/>
    <m/>
    <m/>
    <m/>
    <m/>
    <m/>
    <x v="0"/>
    <m/>
  </r>
  <r>
    <m/>
    <x v="3"/>
    <s v="chum"/>
    <m/>
    <s v="UM"/>
    <n v="68"/>
    <x v="1"/>
    <x v="1"/>
    <s v="S23132"/>
    <n v="18"/>
    <m/>
    <m/>
    <x v="0"/>
    <s v="C6"/>
    <n v="161"/>
    <m/>
    <n v="150"/>
    <m/>
    <m/>
    <m/>
    <m/>
    <m/>
    <m/>
    <m/>
    <m/>
    <m/>
    <x v="0"/>
    <m/>
  </r>
  <r>
    <m/>
    <x v="3"/>
    <s v="chum"/>
    <m/>
    <s v="UM"/>
    <n v="73"/>
    <x v="1"/>
    <x v="1"/>
    <s v="S23132"/>
    <n v="19"/>
    <m/>
    <m/>
    <x v="0"/>
    <s v="D1"/>
    <n v="162"/>
    <m/>
    <s v="no OT"/>
    <m/>
    <m/>
    <m/>
    <m/>
    <m/>
    <m/>
    <m/>
    <m/>
    <m/>
    <x v="0"/>
    <m/>
  </r>
  <r>
    <m/>
    <x v="3"/>
    <s v="chum"/>
    <m/>
    <s v="UM"/>
    <n v="78"/>
    <x v="0"/>
    <x v="1"/>
    <s v="S23132"/>
    <n v="20"/>
    <m/>
    <m/>
    <x v="0"/>
    <s v="D2"/>
    <n v="163"/>
    <m/>
    <n v="152"/>
    <m/>
    <m/>
    <m/>
    <m/>
    <m/>
    <m/>
    <m/>
    <m/>
    <m/>
    <x v="0"/>
    <m/>
  </r>
  <r>
    <m/>
    <x v="3"/>
    <s v="chum"/>
    <m/>
    <s v="UM"/>
    <n v="76"/>
    <x v="0"/>
    <x v="2"/>
    <s v="S23131"/>
    <n v="1"/>
    <m/>
    <m/>
    <x v="0"/>
    <s v="D3"/>
    <n v="164"/>
    <m/>
    <n v="156"/>
    <m/>
    <m/>
    <m/>
    <m/>
    <m/>
    <m/>
    <m/>
    <m/>
    <m/>
    <x v="0"/>
    <m/>
  </r>
  <r>
    <m/>
    <x v="3"/>
    <s v="chum"/>
    <m/>
    <s v="UM"/>
    <n v="80"/>
    <x v="0"/>
    <x v="2"/>
    <s v="S23131"/>
    <n v="2"/>
    <m/>
    <m/>
    <x v="0"/>
    <s v="D4"/>
    <n v="165"/>
    <m/>
    <n v="158"/>
    <m/>
    <m/>
    <m/>
    <m/>
    <m/>
    <m/>
    <m/>
    <m/>
    <m/>
    <x v="0"/>
    <m/>
  </r>
  <r>
    <m/>
    <x v="3"/>
    <s v="chum"/>
    <m/>
    <s v="UM"/>
    <n v="74"/>
    <x v="0"/>
    <x v="2"/>
    <s v="S23131"/>
    <n v="3"/>
    <m/>
    <m/>
    <x v="0"/>
    <s v="D5"/>
    <n v="166"/>
    <m/>
    <n v="159"/>
    <m/>
    <m/>
    <m/>
    <m/>
    <m/>
    <m/>
    <m/>
    <m/>
    <m/>
    <x v="0"/>
    <m/>
  </r>
  <r>
    <m/>
    <x v="3"/>
    <s v="chum"/>
    <m/>
    <s v="UM"/>
    <n v="72"/>
    <x v="0"/>
    <x v="2"/>
    <s v="S23131"/>
    <n v="4"/>
    <m/>
    <m/>
    <x v="0"/>
    <s v="D6"/>
    <n v="167"/>
    <m/>
    <n v="160"/>
    <m/>
    <m/>
    <m/>
    <m/>
    <m/>
    <m/>
    <m/>
    <m/>
    <m/>
    <x v="0"/>
    <m/>
  </r>
  <r>
    <m/>
    <x v="3"/>
    <s v="chum"/>
    <m/>
    <s v="UM"/>
    <n v="75"/>
    <x v="0"/>
    <x v="2"/>
    <s v="S23131"/>
    <n v="5"/>
    <m/>
    <m/>
    <x v="0"/>
    <s v="E1"/>
    <n v="168"/>
    <m/>
    <n v="163"/>
    <m/>
    <m/>
    <m/>
    <m/>
    <m/>
    <m/>
    <m/>
    <m/>
    <m/>
    <x v="0"/>
    <m/>
  </r>
  <r>
    <m/>
    <x v="3"/>
    <s v="chum"/>
    <m/>
    <s v="UM"/>
    <n v="70"/>
    <x v="0"/>
    <x v="2"/>
    <s v="S23131"/>
    <n v="6"/>
    <m/>
    <m/>
    <x v="0"/>
    <s v="E2"/>
    <n v="169"/>
    <m/>
    <n v="164"/>
    <m/>
    <m/>
    <m/>
    <m/>
    <m/>
    <m/>
    <m/>
    <m/>
    <m/>
    <x v="0"/>
    <m/>
  </r>
  <r>
    <m/>
    <x v="3"/>
    <s v="chum"/>
    <m/>
    <s v="UM"/>
    <n v="68"/>
    <x v="0"/>
    <x v="2"/>
    <s v="S23131"/>
    <n v="7"/>
    <m/>
    <m/>
    <x v="0"/>
    <s v="E3"/>
    <n v="170"/>
    <m/>
    <n v="166"/>
    <m/>
    <m/>
    <m/>
    <m/>
    <m/>
    <m/>
    <m/>
    <m/>
    <m/>
    <x v="0"/>
    <m/>
  </r>
  <r>
    <m/>
    <x v="4"/>
    <s v="chum"/>
    <m/>
    <s v="UM"/>
    <n v="87"/>
    <x v="0"/>
    <x v="1"/>
    <s v="S23129"/>
    <n v="1"/>
    <m/>
    <m/>
    <x v="0"/>
    <s v="A1"/>
    <n v="171"/>
    <m/>
    <n v="168"/>
    <m/>
    <m/>
    <m/>
    <m/>
    <m/>
    <m/>
    <m/>
    <m/>
    <m/>
    <x v="1"/>
    <m/>
  </r>
  <r>
    <m/>
    <x v="4"/>
    <s v="chum"/>
    <m/>
    <s v="UM"/>
    <n v="76"/>
    <x v="0"/>
    <x v="1"/>
    <s v="S23129"/>
    <n v="2"/>
    <m/>
    <m/>
    <x v="0"/>
    <s v="A2"/>
    <n v="172"/>
    <m/>
    <n v="169"/>
    <m/>
    <m/>
    <m/>
    <m/>
    <m/>
    <m/>
    <m/>
    <m/>
    <m/>
    <x v="1"/>
    <m/>
  </r>
  <r>
    <m/>
    <x v="4"/>
    <s v="chum"/>
    <m/>
    <s v="UM"/>
    <n v="79"/>
    <x v="0"/>
    <x v="1"/>
    <s v="S23129"/>
    <n v="3"/>
    <m/>
    <m/>
    <x v="0"/>
    <s v="A3"/>
    <n v="173"/>
    <m/>
    <n v="170"/>
    <m/>
    <m/>
    <m/>
    <m/>
    <m/>
    <m/>
    <m/>
    <m/>
    <m/>
    <x v="1"/>
    <m/>
  </r>
  <r>
    <m/>
    <x v="4"/>
    <s v="chum"/>
    <m/>
    <s v="UM"/>
    <n v="80"/>
    <x v="0"/>
    <x v="1"/>
    <s v="S23129"/>
    <n v="4"/>
    <m/>
    <m/>
    <x v="0"/>
    <s v="A4"/>
    <n v="174"/>
    <m/>
    <n v="171"/>
    <m/>
    <m/>
    <m/>
    <m/>
    <m/>
    <m/>
    <m/>
    <m/>
    <m/>
    <x v="1"/>
    <m/>
  </r>
  <r>
    <m/>
    <x v="4"/>
    <s v="chum"/>
    <m/>
    <s v="UM"/>
    <n v="70"/>
    <x v="0"/>
    <x v="1"/>
    <s v="S23129"/>
    <n v="5"/>
    <m/>
    <m/>
    <x v="0"/>
    <s v="A5"/>
    <n v="175"/>
    <m/>
    <n v="172"/>
    <m/>
    <m/>
    <m/>
    <m/>
    <m/>
    <m/>
    <m/>
    <m/>
    <m/>
    <x v="1"/>
    <m/>
  </r>
  <r>
    <m/>
    <x v="4"/>
    <s v="chum"/>
    <m/>
    <s v="UM"/>
    <n v="70"/>
    <x v="0"/>
    <x v="1"/>
    <s v="S23129"/>
    <n v="6"/>
    <m/>
    <m/>
    <x v="0"/>
    <s v="A6"/>
    <n v="176"/>
    <m/>
    <n v="173"/>
    <m/>
    <m/>
    <m/>
    <m/>
    <m/>
    <m/>
    <m/>
    <m/>
    <m/>
    <x v="1"/>
    <m/>
  </r>
  <r>
    <m/>
    <x v="4"/>
    <s v="chum"/>
    <m/>
    <s v="UM"/>
    <n v="66"/>
    <x v="0"/>
    <x v="1"/>
    <s v="S23129"/>
    <n v="7"/>
    <m/>
    <m/>
    <x v="0"/>
    <s v="B1"/>
    <n v="177"/>
    <m/>
    <n v="174"/>
    <m/>
    <m/>
    <m/>
    <m/>
    <m/>
    <m/>
    <m/>
    <m/>
    <m/>
    <x v="1"/>
    <m/>
  </r>
  <r>
    <m/>
    <x v="4"/>
    <s v="chum"/>
    <m/>
    <s v="UM"/>
    <n v="70"/>
    <x v="0"/>
    <x v="1"/>
    <s v="S23129"/>
    <n v="8"/>
    <m/>
    <m/>
    <x v="0"/>
    <s v="B2"/>
    <n v="178"/>
    <m/>
    <n v="175"/>
    <m/>
    <m/>
    <m/>
    <m/>
    <m/>
    <m/>
    <m/>
    <m/>
    <m/>
    <x v="1"/>
    <m/>
  </r>
  <r>
    <m/>
    <x v="4"/>
    <s v="chum"/>
    <m/>
    <s v="UM"/>
    <n v="72"/>
    <x v="1"/>
    <x v="1"/>
    <s v="S23129"/>
    <n v="9"/>
    <m/>
    <m/>
    <x v="0"/>
    <s v="B3"/>
    <n v="179"/>
    <m/>
    <n v="176"/>
    <m/>
    <m/>
    <m/>
    <m/>
    <m/>
    <m/>
    <m/>
    <m/>
    <m/>
    <x v="1"/>
    <m/>
  </r>
  <r>
    <m/>
    <x v="4"/>
    <s v="chum"/>
    <m/>
    <s v="UM"/>
    <n v="77"/>
    <x v="1"/>
    <x v="1"/>
    <s v="S23129"/>
    <n v="10"/>
    <m/>
    <m/>
    <x v="0"/>
    <s v="B4"/>
    <n v="180"/>
    <m/>
    <n v="177"/>
    <m/>
    <m/>
    <m/>
    <m/>
    <m/>
    <m/>
    <m/>
    <m/>
    <m/>
    <x v="1"/>
    <m/>
  </r>
  <r>
    <m/>
    <x v="4"/>
    <s v="chum"/>
    <m/>
    <s v="UM"/>
    <n v="75"/>
    <x v="1"/>
    <x v="1"/>
    <s v="S23129"/>
    <n v="11"/>
    <m/>
    <m/>
    <x v="0"/>
    <s v="B5"/>
    <n v="181"/>
    <m/>
    <n v="178"/>
    <m/>
    <m/>
    <m/>
    <m/>
    <m/>
    <m/>
    <m/>
    <m/>
    <m/>
    <x v="1"/>
    <m/>
  </r>
  <r>
    <m/>
    <x v="4"/>
    <s v="chum"/>
    <m/>
    <s v="UM"/>
    <n v="67"/>
    <x v="1"/>
    <x v="1"/>
    <s v="S23129"/>
    <n v="12"/>
    <m/>
    <m/>
    <x v="0"/>
    <s v="B6"/>
    <n v="182"/>
    <m/>
    <n v="179"/>
    <m/>
    <m/>
    <m/>
    <m/>
    <m/>
    <m/>
    <m/>
    <m/>
    <m/>
    <x v="1"/>
    <m/>
  </r>
  <r>
    <m/>
    <x v="4"/>
    <s v="chum"/>
    <m/>
    <s v="UM"/>
    <n v="68"/>
    <x v="1"/>
    <x v="1"/>
    <s v="S23129"/>
    <n v="13"/>
    <m/>
    <m/>
    <x v="0"/>
    <s v="C1"/>
    <n v="183"/>
    <m/>
    <n v="180"/>
    <m/>
    <m/>
    <m/>
    <m/>
    <m/>
    <m/>
    <m/>
    <m/>
    <m/>
    <x v="1"/>
    <m/>
  </r>
  <r>
    <m/>
    <x v="4"/>
    <s v="chum"/>
    <m/>
    <s v="UM"/>
    <n v="71"/>
    <x v="1"/>
    <x v="1"/>
    <s v="S23129"/>
    <n v="14"/>
    <m/>
    <m/>
    <x v="0"/>
    <s v="C2"/>
    <n v="184"/>
    <m/>
    <n v="181"/>
    <m/>
    <m/>
    <m/>
    <m/>
    <m/>
    <m/>
    <m/>
    <m/>
    <m/>
    <x v="1"/>
    <m/>
  </r>
  <r>
    <m/>
    <x v="4"/>
    <s v="chum"/>
    <m/>
    <s v="UM"/>
    <n v="76"/>
    <x v="1"/>
    <x v="1"/>
    <s v="S23129"/>
    <n v="15"/>
    <m/>
    <m/>
    <x v="0"/>
    <s v="C3"/>
    <n v="185"/>
    <m/>
    <n v="182"/>
    <m/>
    <m/>
    <m/>
    <m/>
    <m/>
    <m/>
    <m/>
    <m/>
    <m/>
    <x v="1"/>
    <m/>
  </r>
  <r>
    <m/>
    <x v="4"/>
    <s v="chum"/>
    <m/>
    <s v="UM"/>
    <n v="66"/>
    <x v="1"/>
    <x v="1"/>
    <s v="S23129"/>
    <n v="16"/>
    <m/>
    <m/>
    <x v="0"/>
    <s v="C4"/>
    <n v="186"/>
    <m/>
    <n v="183"/>
    <m/>
    <m/>
    <m/>
    <m/>
    <m/>
    <m/>
    <m/>
    <m/>
    <m/>
    <x v="1"/>
    <m/>
  </r>
  <r>
    <m/>
    <x v="5"/>
    <s v="chum"/>
    <m/>
    <s v="UM"/>
    <n v="73"/>
    <x v="1"/>
    <x v="1"/>
    <s v="A-77749"/>
    <n v="1"/>
    <m/>
    <m/>
    <x v="0"/>
    <s v="A1"/>
    <n v="187"/>
    <m/>
    <n v="184"/>
    <m/>
    <m/>
    <m/>
    <m/>
    <m/>
    <m/>
    <m/>
    <m/>
    <m/>
    <x v="1"/>
    <m/>
  </r>
  <r>
    <m/>
    <x v="5"/>
    <s v="chum"/>
    <m/>
    <s v="UM"/>
    <n v="69"/>
    <x v="1"/>
    <x v="1"/>
    <s v="A-77749"/>
    <n v="2"/>
    <m/>
    <m/>
    <x v="0"/>
    <s v="A2"/>
    <n v="188"/>
    <m/>
    <n v="185"/>
    <m/>
    <m/>
    <m/>
    <m/>
    <m/>
    <m/>
    <m/>
    <m/>
    <m/>
    <x v="1"/>
    <m/>
  </r>
  <r>
    <m/>
    <x v="5"/>
    <s v="chum"/>
    <m/>
    <s v="UM"/>
    <n v="68"/>
    <x v="1"/>
    <x v="1"/>
    <s v="A-77749"/>
    <n v="3"/>
    <m/>
    <m/>
    <x v="0"/>
    <s v="A3"/>
    <n v="189"/>
    <m/>
    <n v="186"/>
    <m/>
    <m/>
    <m/>
    <m/>
    <m/>
    <m/>
    <m/>
    <m/>
    <m/>
    <x v="1"/>
    <m/>
  </r>
  <r>
    <m/>
    <x v="5"/>
    <s v="chum"/>
    <m/>
    <s v="UM"/>
    <n v="71"/>
    <x v="1"/>
    <x v="1"/>
    <s v="A-77749"/>
    <n v="4"/>
    <m/>
    <m/>
    <x v="0"/>
    <s v="A4"/>
    <n v="190"/>
    <m/>
    <n v="187"/>
    <m/>
    <m/>
    <m/>
    <m/>
    <m/>
    <m/>
    <m/>
    <m/>
    <m/>
    <x v="1"/>
    <m/>
  </r>
  <r>
    <m/>
    <x v="5"/>
    <s v="chum"/>
    <m/>
    <s v="UM"/>
    <n v="70"/>
    <x v="1"/>
    <x v="1"/>
    <s v="A-77749"/>
    <n v="5"/>
    <m/>
    <m/>
    <x v="0"/>
    <s v="A5"/>
    <n v="191"/>
    <m/>
    <n v="188"/>
    <m/>
    <m/>
    <m/>
    <m/>
    <m/>
    <m/>
    <m/>
    <m/>
    <m/>
    <x v="1"/>
    <m/>
  </r>
  <r>
    <m/>
    <x v="5"/>
    <s v="chum"/>
    <m/>
    <s v="UM"/>
    <n v="59"/>
    <x v="1"/>
    <x v="1"/>
    <s v="A-77749"/>
    <n v="6"/>
    <m/>
    <m/>
    <x v="0"/>
    <s v="A6"/>
    <n v="192"/>
    <m/>
    <n v="189"/>
    <m/>
    <m/>
    <m/>
    <m/>
    <m/>
    <m/>
    <m/>
    <m/>
    <m/>
    <x v="1"/>
    <m/>
  </r>
  <r>
    <m/>
    <x v="5"/>
    <s v="chum"/>
    <m/>
    <s v="UM"/>
    <n v="73"/>
    <x v="1"/>
    <x v="1"/>
    <s v="A-77749"/>
    <n v="7"/>
    <m/>
    <m/>
    <x v="0"/>
    <s v="B1"/>
    <n v="193"/>
    <m/>
    <n v="190"/>
    <m/>
    <m/>
    <m/>
    <m/>
    <m/>
    <m/>
    <m/>
    <m/>
    <m/>
    <x v="1"/>
    <m/>
  </r>
  <r>
    <m/>
    <x v="5"/>
    <s v="chum"/>
    <m/>
    <s v="UM"/>
    <n v="71"/>
    <x v="1"/>
    <x v="1"/>
    <s v="A-77749"/>
    <n v="8"/>
    <m/>
    <m/>
    <x v="0"/>
    <s v="B2"/>
    <n v="194"/>
    <m/>
    <n v="191"/>
    <m/>
    <m/>
    <m/>
    <m/>
    <m/>
    <m/>
    <m/>
    <m/>
    <m/>
    <x v="1"/>
    <m/>
  </r>
  <r>
    <m/>
    <x v="5"/>
    <s v="chum"/>
    <m/>
    <s v="UM"/>
    <n v="61"/>
    <x v="1"/>
    <x v="3"/>
    <s v="A-77749"/>
    <n v="9"/>
    <m/>
    <m/>
    <x v="0"/>
    <s v="B3"/>
    <n v="195"/>
    <m/>
    <n v="192"/>
    <m/>
    <m/>
    <m/>
    <m/>
    <m/>
    <m/>
    <m/>
    <m/>
    <m/>
    <x v="1"/>
    <m/>
  </r>
  <r>
    <m/>
    <x v="5"/>
    <s v="chum"/>
    <m/>
    <s v="UM"/>
    <n v="62"/>
    <x v="1"/>
    <x v="1"/>
    <s v="A-77749"/>
    <n v="10"/>
    <m/>
    <m/>
    <x v="0"/>
    <s v="B4"/>
    <n v="196"/>
    <m/>
    <n v="193"/>
    <m/>
    <m/>
    <m/>
    <m/>
    <m/>
    <m/>
    <m/>
    <m/>
    <m/>
    <x v="1"/>
    <m/>
  </r>
  <r>
    <m/>
    <x v="5"/>
    <s v="chum"/>
    <m/>
    <s v="UM"/>
    <n v="70"/>
    <x v="0"/>
    <x v="1"/>
    <s v="A-77749"/>
    <n v="11"/>
    <m/>
    <m/>
    <x v="0"/>
    <s v="B5"/>
    <n v="197"/>
    <m/>
    <n v="194"/>
    <m/>
    <m/>
    <m/>
    <m/>
    <m/>
    <m/>
    <m/>
    <m/>
    <m/>
    <x v="1"/>
    <m/>
  </r>
  <r>
    <m/>
    <x v="5"/>
    <s v="chum"/>
    <m/>
    <s v="UM"/>
    <n v="69"/>
    <x v="0"/>
    <x v="1"/>
    <s v="A-77749"/>
    <n v="12"/>
    <m/>
    <m/>
    <x v="0"/>
    <s v="B6"/>
    <n v="198"/>
    <m/>
    <n v="195"/>
    <m/>
    <m/>
    <m/>
    <m/>
    <m/>
    <m/>
    <m/>
    <m/>
    <m/>
    <x v="1"/>
    <m/>
  </r>
  <r>
    <m/>
    <x v="5"/>
    <s v="chum"/>
    <m/>
    <s v="UM"/>
    <n v="74"/>
    <x v="0"/>
    <x v="1"/>
    <s v="A-77749"/>
    <n v="13"/>
    <m/>
    <m/>
    <x v="0"/>
    <s v="C1"/>
    <n v="199"/>
    <m/>
    <n v="196"/>
    <m/>
    <m/>
    <m/>
    <m/>
    <m/>
    <m/>
    <m/>
    <m/>
    <m/>
    <x v="1"/>
    <m/>
  </r>
  <r>
    <m/>
    <x v="5"/>
    <s v="chum"/>
    <m/>
    <s v="UM"/>
    <n v="76"/>
    <x v="0"/>
    <x v="1"/>
    <s v="A-77749"/>
    <n v="14"/>
    <m/>
    <m/>
    <x v="0"/>
    <s v="C2"/>
    <n v="200"/>
    <m/>
    <n v="197"/>
    <m/>
    <m/>
    <m/>
    <m/>
    <m/>
    <m/>
    <m/>
    <m/>
    <m/>
    <x v="1"/>
    <m/>
  </r>
  <r>
    <m/>
    <x v="5"/>
    <s v="chum"/>
    <m/>
    <s v="UM"/>
    <n v="70"/>
    <x v="0"/>
    <x v="1"/>
    <s v="A-77749"/>
    <n v="15"/>
    <m/>
    <m/>
    <x v="0"/>
    <s v="C3"/>
    <n v="201"/>
    <m/>
    <n v="198"/>
    <m/>
    <m/>
    <m/>
    <m/>
    <m/>
    <m/>
    <m/>
    <m/>
    <m/>
    <x v="1"/>
    <m/>
  </r>
  <r>
    <m/>
    <x v="5"/>
    <s v="chum"/>
    <m/>
    <s v="UM"/>
    <n v="70"/>
    <x v="0"/>
    <x v="1"/>
    <s v="A-77749"/>
    <n v="16"/>
    <m/>
    <m/>
    <x v="0"/>
    <s v="C4"/>
    <n v="202"/>
    <m/>
    <n v="199"/>
    <m/>
    <m/>
    <m/>
    <m/>
    <m/>
    <m/>
    <m/>
    <m/>
    <m/>
    <x v="1"/>
    <m/>
  </r>
  <r>
    <m/>
    <x v="5"/>
    <s v="chum"/>
    <m/>
    <s v="UM"/>
    <n v="76"/>
    <x v="0"/>
    <x v="1"/>
    <s v="A-77749"/>
    <n v="17"/>
    <m/>
    <m/>
    <x v="0"/>
    <s v="C5"/>
    <n v="203"/>
    <m/>
    <n v="200"/>
    <m/>
    <m/>
    <m/>
    <m/>
    <m/>
    <m/>
    <m/>
    <m/>
    <m/>
    <x v="1"/>
    <m/>
  </r>
  <r>
    <m/>
    <x v="5"/>
    <s v="chum"/>
    <m/>
    <s v="UM"/>
    <n v="81"/>
    <x v="0"/>
    <x v="0"/>
    <s v="A-77749"/>
    <n v="18"/>
    <m/>
    <m/>
    <x v="0"/>
    <s v="C6"/>
    <s v="no DNA"/>
    <m/>
    <n v="201"/>
    <m/>
    <m/>
    <m/>
    <m/>
    <m/>
    <m/>
    <m/>
    <m/>
    <m/>
    <x v="1"/>
    <m/>
  </r>
  <r>
    <m/>
    <x v="5"/>
    <s v="chum"/>
    <m/>
    <s v="UM"/>
    <n v="79"/>
    <x v="0"/>
    <x v="1"/>
    <s v="A-77750"/>
    <n v="1"/>
    <m/>
    <m/>
    <x v="0"/>
    <s v="D1"/>
    <n v="204"/>
    <m/>
    <n v="202"/>
    <m/>
    <m/>
    <m/>
    <m/>
    <m/>
    <m/>
    <m/>
    <m/>
    <m/>
    <x v="0"/>
    <m/>
  </r>
  <r>
    <m/>
    <x v="5"/>
    <s v="chum"/>
    <m/>
    <s v="UM"/>
    <n v="70"/>
    <x v="0"/>
    <x v="1"/>
    <s v="A-77750"/>
    <n v="2"/>
    <m/>
    <m/>
    <x v="0"/>
    <s v="D2"/>
    <n v="205"/>
    <m/>
    <n v="203"/>
    <m/>
    <m/>
    <m/>
    <m/>
    <m/>
    <m/>
    <m/>
    <m/>
    <m/>
    <x v="0"/>
    <m/>
  </r>
  <r>
    <m/>
    <x v="5"/>
    <s v="chum"/>
    <m/>
    <s v="UM"/>
    <n v="72"/>
    <x v="0"/>
    <x v="1"/>
    <s v="A-77750"/>
    <n v="3"/>
    <m/>
    <m/>
    <x v="0"/>
    <s v="D3"/>
    <n v="206"/>
    <m/>
    <n v="204"/>
    <m/>
    <m/>
    <m/>
    <m/>
    <m/>
    <m/>
    <m/>
    <m/>
    <m/>
    <x v="0"/>
    <m/>
  </r>
  <r>
    <m/>
    <x v="5"/>
    <s v="chum"/>
    <m/>
    <s v="UM"/>
    <n v="68"/>
    <x v="0"/>
    <x v="1"/>
    <s v="A-77750"/>
    <n v="4"/>
    <m/>
    <m/>
    <x v="0"/>
    <s v="D4"/>
    <n v="207"/>
    <m/>
    <n v="205"/>
    <m/>
    <m/>
    <m/>
    <m/>
    <m/>
    <m/>
    <m/>
    <m/>
    <m/>
    <x v="0"/>
    <m/>
  </r>
  <r>
    <m/>
    <x v="5"/>
    <s v="chum"/>
    <m/>
    <s v="UM"/>
    <n v="75"/>
    <x v="0"/>
    <x v="1"/>
    <s v="A-77750"/>
    <n v="5"/>
    <m/>
    <m/>
    <x v="0"/>
    <s v="D5"/>
    <n v="208"/>
    <m/>
    <n v="206"/>
    <m/>
    <m/>
    <m/>
    <m/>
    <m/>
    <m/>
    <m/>
    <m/>
    <m/>
    <x v="0"/>
    <m/>
  </r>
  <r>
    <m/>
    <x v="5"/>
    <s v="chum"/>
    <m/>
    <s v="UM"/>
    <n v="67"/>
    <x v="0"/>
    <x v="1"/>
    <s v="A-77750"/>
    <n v="6"/>
    <m/>
    <m/>
    <x v="0"/>
    <s v="D6"/>
    <n v="209"/>
    <m/>
    <n v="207"/>
    <m/>
    <m/>
    <m/>
    <m/>
    <m/>
    <m/>
    <m/>
    <m/>
    <m/>
    <x v="0"/>
    <m/>
  </r>
  <r>
    <m/>
    <x v="5"/>
    <s v="chum"/>
    <m/>
    <s v="UM"/>
    <n v="67"/>
    <x v="0"/>
    <x v="1"/>
    <s v="A-77750"/>
    <n v="7"/>
    <m/>
    <m/>
    <x v="0"/>
    <s v="E1"/>
    <n v="210"/>
    <m/>
    <n v="208"/>
    <m/>
    <m/>
    <m/>
    <m/>
    <m/>
    <m/>
    <m/>
    <m/>
    <m/>
    <x v="0"/>
    <m/>
  </r>
  <r>
    <m/>
    <x v="5"/>
    <s v="chum"/>
    <m/>
    <s v="UM"/>
    <n v="77"/>
    <x v="0"/>
    <x v="1"/>
    <s v="A-77750"/>
    <n v="8"/>
    <m/>
    <m/>
    <x v="0"/>
    <s v="E2"/>
    <n v="211"/>
    <m/>
    <n v="209"/>
    <m/>
    <m/>
    <m/>
    <m/>
    <m/>
    <m/>
    <m/>
    <m/>
    <m/>
    <x v="0"/>
    <m/>
  </r>
  <r>
    <m/>
    <x v="5"/>
    <s v="chum"/>
    <m/>
    <s v="UM"/>
    <n v="67"/>
    <x v="0"/>
    <x v="1"/>
    <s v="A-77750"/>
    <n v="9"/>
    <m/>
    <m/>
    <x v="0"/>
    <s v="E3"/>
    <n v="212"/>
    <m/>
    <n v="210"/>
    <m/>
    <m/>
    <m/>
    <m/>
    <m/>
    <m/>
    <m/>
    <m/>
    <m/>
    <x v="0"/>
    <m/>
  </r>
  <r>
    <m/>
    <x v="5"/>
    <s v="chum"/>
    <m/>
    <s v="UM"/>
    <n v="75"/>
    <x v="0"/>
    <x v="1"/>
    <s v="A-77750"/>
    <n v="10"/>
    <m/>
    <m/>
    <x v="0"/>
    <s v="E4"/>
    <n v="213"/>
    <m/>
    <n v="211"/>
    <m/>
    <m/>
    <m/>
    <m/>
    <m/>
    <m/>
    <m/>
    <m/>
    <m/>
    <x v="0"/>
    <m/>
  </r>
  <r>
    <m/>
    <x v="5"/>
    <s v="chum"/>
    <m/>
    <s v="UM"/>
    <n v="76"/>
    <x v="1"/>
    <x v="1"/>
    <s v="A-77750"/>
    <n v="11"/>
    <m/>
    <m/>
    <x v="0"/>
    <s v="E5"/>
    <n v="214"/>
    <m/>
    <n v="212"/>
    <m/>
    <m/>
    <m/>
    <m/>
    <m/>
    <m/>
    <m/>
    <m/>
    <m/>
    <x v="0"/>
    <m/>
  </r>
  <r>
    <m/>
    <x v="5"/>
    <s v="chum"/>
    <m/>
    <s v="UM"/>
    <n v="74"/>
    <x v="1"/>
    <x v="1"/>
    <s v="A-77750"/>
    <n v="12"/>
    <m/>
    <m/>
    <x v="0"/>
    <s v="E6"/>
    <n v="215"/>
    <m/>
    <n v="213"/>
    <m/>
    <m/>
    <m/>
    <m/>
    <m/>
    <m/>
    <m/>
    <m/>
    <m/>
    <x v="0"/>
    <m/>
  </r>
  <r>
    <m/>
    <x v="5"/>
    <s v="chum"/>
    <m/>
    <s v="UM"/>
    <n v="73"/>
    <x v="1"/>
    <x v="1"/>
    <s v="A-77750"/>
    <n v="13"/>
    <m/>
    <m/>
    <x v="0"/>
    <s v="A1"/>
    <n v="216"/>
    <m/>
    <n v="214"/>
    <m/>
    <m/>
    <m/>
    <m/>
    <m/>
    <m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26294-C972-4530-A0F3-C7F33BDD1D15}" name="PivotTable7" cacheId="8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8:E46" firstHeaderRow="1" firstDataRow="2" firstDataCol="1"/>
  <pivotFields count="28">
    <pivotField showAll="0"/>
    <pivotField axis="axisRow" showAll="0">
      <items count="8">
        <item x="0"/>
        <item x="1"/>
        <item x="2"/>
        <item m="1" x="6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1"/>
        <item x="2"/>
        <item m="1" x="3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Count of Source" fld="26" subtotal="count" baseField="0" baseItem="0"/>
  </dataFields>
  <formats count="2">
    <format dxfId="16">
      <pivotArea outline="0" collapsedLevelsAreSubtotals="1" fieldPosition="0"/>
    </format>
    <format dxfId="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FB6D4-10BC-4F49-9970-9B6BED8D9DC7}" name="PivotTable6" cacheId="8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27:G34" firstHeaderRow="1" firstDataRow="1" firstDataCol="1"/>
  <pivotFields count="28">
    <pivotField showAll="0"/>
    <pivotField axis="axisRow" showAll="0">
      <items count="8">
        <item x="0"/>
        <item x="1"/>
        <item x="2"/>
        <item m="1" x="6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Count of Otolith Code" fld="16" subtotal="count" baseField="0" baseItem="0"/>
  </dataFields>
  <formats count="2">
    <format dxfId="25">
      <pivotArea outline="0" collapsedLevelsAreSubtotals="1" fieldPosition="0"/>
    </format>
    <format dxfId="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3A026-FDFC-42DB-BCF9-B84877820A33}" name="PivotTable4" cacheId="8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7:C35" firstHeaderRow="1" firstDataRow="2" firstDataCol="1"/>
  <pivotFields count="28">
    <pivotField showAll="0"/>
    <pivotField axis="axisRow" showAll="0">
      <items count="8">
        <item x="0"/>
        <item x="1"/>
        <item x="2"/>
        <item m="1" x="6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12"/>
  </colFields>
  <colItems count="2">
    <i>
      <x/>
    </i>
    <i t="grand">
      <x/>
    </i>
  </colItems>
  <dataFields count="1">
    <dataField name="Count of DNA Code" fld="12" subtotal="count" baseField="0" baseItem="0"/>
  </dataFields>
  <formats count="2">
    <format dxfId="27">
      <pivotArea outline="0" collapsedLevelsAreSubtotals="1" fieldPosition="0"/>
    </format>
    <format dxfId="2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F4F34-298A-49EA-927F-54F3E12F5A72}" name="PivotTable3" cacheId="8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5:H24" firstHeaderRow="1" firstDataRow="3" firstDataCol="1"/>
  <pivotFields count="28">
    <pivotField showAll="0" defaultSubtotal="0"/>
    <pivotField axis="axisRow" showAll="0" defaultSubtotal="0">
      <items count="7">
        <item x="0"/>
        <item x="1"/>
        <item x="2"/>
        <item m="1" x="6"/>
        <item x="3"/>
        <item x="4"/>
        <item x="5"/>
      </items>
    </pivotField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3">
        <item x="1"/>
        <item x="0"/>
        <item m="1" x="2"/>
      </items>
    </pivotField>
    <pivotField axis="axisCol" dataField="1" showAll="0" defaultSubtotal="0">
      <items count="4">
        <item x="1"/>
        <item x="3"/>
        <item x="0"/>
        <item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2">
    <field x="7"/>
    <field x="6"/>
  </colFields>
  <colItems count="7">
    <i>
      <x/>
      <x/>
    </i>
    <i r="1">
      <x v="1"/>
    </i>
    <i>
      <x v="1"/>
      <x/>
    </i>
    <i>
      <x v="2"/>
      <x/>
    </i>
    <i r="1">
      <x v="1"/>
    </i>
    <i>
      <x v="3"/>
      <x v="1"/>
    </i>
    <i t="grand">
      <x/>
    </i>
  </colItems>
  <dataFields count="1">
    <dataField name="Count of disposition" fld="7" subtotal="count" baseField="0" baseItem="0"/>
  </dataFields>
  <formats count="7">
    <format dxfId="24">
      <pivotArea outline="0" collapsedLevelsAreSubtotals="1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Col="1" outline="0" fieldPosition="0"/>
    </format>
    <format dxfId="21">
      <pivotArea dataOnly="0" labelOnly="1" fieldPosition="0">
        <references count="2">
          <reference field="6" count="0"/>
          <reference field="7" count="1" selected="0">
            <x v="0"/>
          </reference>
        </references>
      </pivotArea>
    </format>
    <format dxfId="20">
      <pivotArea dataOnly="0" labelOnly="1" fieldPosition="0">
        <references count="2">
          <reference field="6" count="1">
            <x v="0"/>
          </reference>
          <reference field="7" count="1" selected="0">
            <x v="1"/>
          </reference>
        </references>
      </pivotArea>
    </format>
    <format dxfId="19">
      <pivotArea dataOnly="0" labelOnly="1" fieldPosition="0">
        <references count="2">
          <reference field="6" count="0"/>
          <reference field="7" count="1" selected="0">
            <x v="2"/>
          </reference>
        </references>
      </pivotArea>
    </format>
    <format dxfId="18">
      <pivotArea dataOnly="0" labelOnly="1" fieldPosition="0">
        <references count="2">
          <reference field="6" count="1">
            <x v="1"/>
          </reference>
          <reference field="7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EED18-2892-4869-B48C-D32710A8F616}" name="PivotTable1" cacheId="8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D11" firstHeaderRow="1" firstDataRow="2" firstDataCol="1"/>
  <pivotFields count="28">
    <pivotField showAll="0"/>
    <pivotField axis="axisRow" showAll="0">
      <items count="8">
        <item x="0"/>
        <item x="1"/>
        <item x="2"/>
        <item m="1" x="6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dataField="1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Sex" fld="6" subtotal="count" baseField="0" baseItem="0"/>
  </dataFields>
  <formats count="3">
    <format dxfId="31">
      <pivotArea outline="0" collapsedLevelsAreSubtotals="1" fieldPosition="0"/>
    </format>
    <format dxfId="30">
      <pivotArea dataOnly="0" labelOnly="1" fieldPosition="0">
        <references count="1">
          <reference field="6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96996-3049-4CD8-914E-5A2C8E388270}" name="Table5" displayName="Table5" ref="A1:AB220" totalsRowShown="0">
  <autoFilter ref="A1:AB220" xr:uid="{13A96996-3049-4CD8-914E-5A2C8E388270}"/>
  <tableColumns count="28">
    <tableColumn id="22" xr3:uid="{DA4CE689-2F99-4DCF-9BB4-97317DF64129}" name="Fish #"/>
    <tableColumn id="2" xr3:uid="{9182BC5F-1AFF-4ADA-9A94-00E1490F56EA}" name="Date" dataDxfId="32"/>
    <tableColumn id="3" xr3:uid="{D5D9A084-F1E3-4D2D-977F-A2C130711D31}" name="Species"/>
    <tableColumn id="4" xr3:uid="{1F3974C8-6C4B-437D-AB33-D8A56E0C1494}" name="Run"/>
    <tableColumn id="5" xr3:uid="{9F6D5282-F9EE-4514-9CE9-EEB36AAFF1B8}" name="Mark"/>
    <tableColumn id="6" xr3:uid="{96B5929E-8CA2-4338-9E4E-C2173FE278C7}" name="Fork Length"/>
    <tableColumn id="7" xr3:uid="{C4D5EF4B-AF52-4352-8563-6ED97EFEEB66}" name="Sex"/>
    <tableColumn id="21" xr3:uid="{A6030B8F-0207-4705-A99D-F3CB69B5F9A4}" name="disposition"/>
    <tableColumn id="12" xr3:uid="{4CF1D90C-7A99-401B-8680-11F02A1981B2}" name="Scale Card Number"/>
    <tableColumn id="13" xr3:uid="{578BE7B8-FC0C-408E-8911-D5FE76167665}" name="Scale Card Position"/>
    <tableColumn id="23" xr3:uid="{4E61B743-DF96-4C65-8E50-50D4129D9C84}" name="Scale Age"/>
    <tableColumn id="24" xr3:uid="{B34D5A12-73CF-456E-9104-52A5D52ADF3B}" name="Scale total age"/>
    <tableColumn id="14" xr3:uid="{965362CB-DDCD-41BC-B820-F8933BE638F4}" name="DNA Code"/>
    <tableColumn id="15" xr3:uid="{9FC679AD-5B30-430B-A46A-CBA928939D7D}" name="DNA Card Position"/>
    <tableColumn id="16" xr3:uid="{E575E22F-F2BA-4AF2-862D-9793FF1185B0}" name="DNA Sample Number"/>
    <tableColumn id="25" xr3:uid="{6E3A249E-3292-418C-9572-2145BA24A719}" name="DNA Results"/>
    <tableColumn id="17" xr3:uid="{B8022E51-CF47-4F06-9FC6-8CE9000D1C6E}" name="Otolith Code"/>
    <tableColumn id="27" xr3:uid="{A0EB835B-B0A5-44CB-A114-7216C0A4E3FF}" name="OT lab log #"/>
    <tableColumn id="28" xr3:uid="{83234DD4-CAC8-454E-9B8E-5D44EB9A2B4B}" name="Thermal mark status"/>
    <tableColumn id="29" xr3:uid="{8A9AEB90-D530-4466-9F0E-458C0AC99BCA}" name="Hatchery origin"/>
    <tableColumn id="30" xr3:uid="{C6B9A0C8-F6C1-43B0-889F-BD3140ACB54D}" name="Brood Year"/>
    <tableColumn id="31" xr3:uid="{67419687-B92A-4184-80AA-556D41FEBA4F}" name="Alternative origin "/>
    <tableColumn id="32" xr3:uid="{95415AAB-FA8D-45A1-9E93-90CC757BACA9}" name="Alternative brood year"/>
    <tableColumn id="33" xr3:uid="{AA709856-D01E-479F-9D17-6EB6B2E18D86}" name="Report comments"/>
    <tableColumn id="26" xr3:uid="{F46914E9-A5A0-4920-B229-F3F1DBA64C14}" name="OT age"/>
    <tableColumn id="18" xr3:uid="{B9CBD08A-A5AF-4C2A-9C1F-186F858E941C}" name="# Otos"/>
    <tableColumn id="19" xr3:uid="{F3BC3A41-B6F3-451D-8A23-6486B7A81A25}" name="Source"/>
    <tableColumn id="20" xr3:uid="{9D4F496D-CC11-4820-B59C-47AF81C537C5}" name="Fish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21EA-66CB-496E-9BAC-B2536811492D}">
  <dimension ref="A1:AB220"/>
  <sheetViews>
    <sheetView tabSelected="1" workbookViewId="0">
      <selection activeCell="AD9" sqref="AD9"/>
    </sheetView>
  </sheetViews>
  <sheetFormatPr defaultRowHeight="14.5" x14ac:dyDescent="0.35"/>
  <cols>
    <col min="1" max="1" width="8.81640625" customWidth="1"/>
    <col min="2" max="2" width="8.7265625" style="2"/>
    <col min="3" max="3" width="6.26953125" customWidth="1"/>
    <col min="4" max="4" width="2.81640625" customWidth="1"/>
    <col min="5" max="5" width="5.453125" customWidth="1"/>
    <col min="6" max="6" width="7.7265625" customWidth="1"/>
    <col min="7" max="7" width="8.7265625" style="3"/>
    <col min="8" max="8" width="12.26953125" customWidth="1"/>
    <col min="9" max="9" width="13.1796875" customWidth="1"/>
    <col min="10" max="10" width="13.81640625" customWidth="1"/>
    <col min="11" max="12" width="2" customWidth="1"/>
    <col min="13" max="13" width="12.1796875" customWidth="1"/>
    <col min="14" max="14" width="12.90625" customWidth="1"/>
    <col min="15" max="15" width="14.6328125" customWidth="1"/>
    <col min="16" max="16" width="2.81640625" customWidth="1"/>
    <col min="17" max="17" width="14.453125" customWidth="1"/>
    <col min="18" max="25" width="1.26953125" customWidth="1"/>
    <col min="27" max="27" width="12.453125" customWidth="1"/>
    <col min="28" max="28" width="55.453125" bestFit="1" customWidth="1"/>
  </cols>
  <sheetData>
    <row r="1" spans="1:28" x14ac:dyDescent="0.35">
      <c r="A1" s="1" t="s">
        <v>61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5</v>
      </c>
      <c r="H1" s="1" t="s">
        <v>6</v>
      </c>
      <c r="I1" t="s">
        <v>7</v>
      </c>
      <c r="J1" t="s">
        <v>8</v>
      </c>
      <c r="K1" s="4" t="s">
        <v>50</v>
      </c>
      <c r="L1" s="4" t="s">
        <v>51</v>
      </c>
      <c r="M1" t="s">
        <v>9</v>
      </c>
      <c r="N1" t="s">
        <v>10</v>
      </c>
      <c r="O1" t="s">
        <v>11</v>
      </c>
      <c r="P1" s="5" t="s">
        <v>52</v>
      </c>
      <c r="Q1" t="s">
        <v>12</v>
      </c>
      <c r="R1" s="6" t="s">
        <v>54</v>
      </c>
      <c r="S1" s="6" t="s">
        <v>55</v>
      </c>
      <c r="T1" s="6" t="s">
        <v>56</v>
      </c>
      <c r="U1" s="6" t="s">
        <v>57</v>
      </c>
      <c r="V1" s="6" t="s">
        <v>58</v>
      </c>
      <c r="W1" s="6" t="s">
        <v>59</v>
      </c>
      <c r="X1" s="6" t="s">
        <v>60</v>
      </c>
      <c r="Y1" t="s">
        <v>53</v>
      </c>
      <c r="Z1" t="s">
        <v>13</v>
      </c>
      <c r="AA1" t="s">
        <v>14</v>
      </c>
      <c r="AB1" t="s">
        <v>15</v>
      </c>
    </row>
    <row r="2" spans="1:28" x14ac:dyDescent="0.35">
      <c r="A2" t="s">
        <v>62</v>
      </c>
      <c r="B2" s="2">
        <v>45966</v>
      </c>
      <c r="C2" t="s">
        <v>171</v>
      </c>
      <c r="E2" t="s">
        <v>172</v>
      </c>
      <c r="F2">
        <v>73</v>
      </c>
      <c r="G2" s="3" t="s">
        <v>173</v>
      </c>
      <c r="H2" t="s">
        <v>48</v>
      </c>
      <c r="I2" t="s">
        <v>175</v>
      </c>
      <c r="J2">
        <v>1</v>
      </c>
      <c r="M2" t="s">
        <v>180</v>
      </c>
      <c r="N2" t="s">
        <v>17</v>
      </c>
      <c r="O2">
        <v>1</v>
      </c>
      <c r="Q2">
        <v>1</v>
      </c>
      <c r="AA2" t="s">
        <v>181</v>
      </c>
    </row>
    <row r="3" spans="1:28" x14ac:dyDescent="0.35">
      <c r="A3" t="s">
        <v>63</v>
      </c>
      <c r="B3" s="2">
        <v>45966</v>
      </c>
      <c r="C3" t="s">
        <v>171</v>
      </c>
      <c r="E3" t="s">
        <v>172</v>
      </c>
      <c r="F3">
        <v>77</v>
      </c>
      <c r="G3" s="3" t="s">
        <v>174</v>
      </c>
      <c r="H3" t="s">
        <v>48</v>
      </c>
      <c r="I3" t="s">
        <v>176</v>
      </c>
      <c r="J3">
        <v>2</v>
      </c>
      <c r="M3" t="s">
        <v>180</v>
      </c>
      <c r="N3" t="s">
        <v>18</v>
      </c>
      <c r="O3">
        <v>2</v>
      </c>
      <c r="Q3">
        <v>2</v>
      </c>
      <c r="AA3" t="s">
        <v>181</v>
      </c>
    </row>
    <row r="4" spans="1:28" x14ac:dyDescent="0.35">
      <c r="A4" t="s">
        <v>64</v>
      </c>
      <c r="B4" s="2">
        <v>45966</v>
      </c>
      <c r="C4" t="s">
        <v>171</v>
      </c>
      <c r="E4" t="s">
        <v>172</v>
      </c>
      <c r="F4">
        <v>76</v>
      </c>
      <c r="G4" s="3" t="s">
        <v>173</v>
      </c>
      <c r="H4" t="s">
        <v>48</v>
      </c>
      <c r="I4" t="s">
        <v>177</v>
      </c>
      <c r="J4">
        <v>3</v>
      </c>
      <c r="M4" t="s">
        <v>180</v>
      </c>
      <c r="N4" t="s">
        <v>19</v>
      </c>
      <c r="O4">
        <v>3</v>
      </c>
      <c r="Q4">
        <v>3</v>
      </c>
      <c r="AA4" t="s">
        <v>181</v>
      </c>
    </row>
    <row r="5" spans="1:28" x14ac:dyDescent="0.35">
      <c r="A5" t="s">
        <v>65</v>
      </c>
      <c r="B5" s="2">
        <v>45966</v>
      </c>
      <c r="C5" t="s">
        <v>171</v>
      </c>
      <c r="E5" t="s">
        <v>172</v>
      </c>
      <c r="F5">
        <v>68</v>
      </c>
      <c r="G5" s="3" t="s">
        <v>174</v>
      </c>
      <c r="H5" t="s">
        <v>48</v>
      </c>
      <c r="I5" t="s">
        <v>178</v>
      </c>
      <c r="J5">
        <v>4</v>
      </c>
      <c r="M5" t="s">
        <v>180</v>
      </c>
      <c r="N5" t="s">
        <v>20</v>
      </c>
      <c r="O5">
        <v>4</v>
      </c>
      <c r="Q5">
        <v>4</v>
      </c>
      <c r="AA5" t="s">
        <v>181</v>
      </c>
    </row>
    <row r="6" spans="1:28" x14ac:dyDescent="0.35">
      <c r="A6" t="s">
        <v>66</v>
      </c>
      <c r="B6" s="2">
        <v>45966</v>
      </c>
      <c r="C6" t="s">
        <v>171</v>
      </c>
      <c r="E6" t="s">
        <v>172</v>
      </c>
      <c r="F6">
        <v>74</v>
      </c>
      <c r="G6" s="3" t="s">
        <v>173</v>
      </c>
      <c r="H6" t="s">
        <v>48</v>
      </c>
      <c r="I6" t="s">
        <v>179</v>
      </c>
      <c r="J6">
        <v>5</v>
      </c>
      <c r="M6" t="s">
        <v>180</v>
      </c>
      <c r="N6" t="s">
        <v>21</v>
      </c>
      <c r="O6">
        <v>5</v>
      </c>
      <c r="Q6">
        <v>5</v>
      </c>
      <c r="AA6" t="s">
        <v>181</v>
      </c>
    </row>
    <row r="7" spans="1:28" x14ac:dyDescent="0.35">
      <c r="A7" t="s">
        <v>67</v>
      </c>
      <c r="B7" s="2">
        <v>45971</v>
      </c>
      <c r="C7" t="s">
        <v>171</v>
      </c>
      <c r="E7" t="s">
        <v>172</v>
      </c>
      <c r="F7">
        <v>70</v>
      </c>
      <c r="G7" s="3" t="s">
        <v>173</v>
      </c>
      <c r="H7" t="s">
        <v>16</v>
      </c>
      <c r="I7" t="s">
        <v>176</v>
      </c>
      <c r="J7">
        <v>1</v>
      </c>
      <c r="M7" t="s">
        <v>180</v>
      </c>
      <c r="N7" t="s">
        <v>17</v>
      </c>
      <c r="O7">
        <v>6</v>
      </c>
      <c r="Q7">
        <v>6</v>
      </c>
      <c r="AA7" t="s">
        <v>191</v>
      </c>
    </row>
    <row r="8" spans="1:28" x14ac:dyDescent="0.35">
      <c r="A8" t="s">
        <v>68</v>
      </c>
      <c r="B8" s="2">
        <v>45971</v>
      </c>
      <c r="C8" t="s">
        <v>171</v>
      </c>
      <c r="E8" t="s">
        <v>172</v>
      </c>
      <c r="F8">
        <v>65</v>
      </c>
      <c r="G8" s="3" t="s">
        <v>173</v>
      </c>
      <c r="H8" t="s">
        <v>16</v>
      </c>
      <c r="I8" t="s">
        <v>176</v>
      </c>
      <c r="J8">
        <v>2</v>
      </c>
      <c r="M8" t="s">
        <v>180</v>
      </c>
      <c r="N8" t="s">
        <v>18</v>
      </c>
      <c r="O8">
        <v>7</v>
      </c>
      <c r="Q8">
        <v>7</v>
      </c>
      <c r="AA8" t="s">
        <v>191</v>
      </c>
    </row>
    <row r="9" spans="1:28" x14ac:dyDescent="0.35">
      <c r="A9" t="s">
        <v>69</v>
      </c>
      <c r="B9" s="2">
        <v>45971</v>
      </c>
      <c r="C9" t="s">
        <v>171</v>
      </c>
      <c r="E9" t="s">
        <v>172</v>
      </c>
      <c r="F9">
        <v>68</v>
      </c>
      <c r="G9" s="3" t="s">
        <v>173</v>
      </c>
      <c r="H9" t="s">
        <v>16</v>
      </c>
      <c r="I9" t="s">
        <v>176</v>
      </c>
      <c r="J9">
        <v>3</v>
      </c>
      <c r="M9" t="s">
        <v>180</v>
      </c>
      <c r="N9" t="s">
        <v>19</v>
      </c>
      <c r="O9">
        <v>8</v>
      </c>
      <c r="Q9">
        <v>8</v>
      </c>
      <c r="AA9" t="s">
        <v>191</v>
      </c>
    </row>
    <row r="10" spans="1:28" x14ac:dyDescent="0.35">
      <c r="A10" t="s">
        <v>70</v>
      </c>
      <c r="B10" s="2">
        <v>45971</v>
      </c>
      <c r="C10" t="s">
        <v>171</v>
      </c>
      <c r="E10" t="s">
        <v>172</v>
      </c>
      <c r="F10">
        <v>70</v>
      </c>
      <c r="G10" s="3" t="s">
        <v>173</v>
      </c>
      <c r="H10" t="s">
        <v>16</v>
      </c>
      <c r="I10" t="s">
        <v>176</v>
      </c>
      <c r="J10">
        <v>4</v>
      </c>
      <c r="M10" t="s">
        <v>180</v>
      </c>
      <c r="N10" t="s">
        <v>20</v>
      </c>
      <c r="O10">
        <v>9</v>
      </c>
      <c r="Q10">
        <v>9</v>
      </c>
      <c r="AA10" t="s">
        <v>191</v>
      </c>
    </row>
    <row r="11" spans="1:28" x14ac:dyDescent="0.35">
      <c r="A11" t="s">
        <v>71</v>
      </c>
      <c r="B11" s="2">
        <v>45971</v>
      </c>
      <c r="C11" t="s">
        <v>171</v>
      </c>
      <c r="E11" t="s">
        <v>172</v>
      </c>
      <c r="F11">
        <v>68</v>
      </c>
      <c r="G11" s="3" t="s">
        <v>173</v>
      </c>
      <c r="H11" t="s">
        <v>16</v>
      </c>
      <c r="I11" t="s">
        <v>176</v>
      </c>
      <c r="J11">
        <v>5</v>
      </c>
      <c r="M11" t="s">
        <v>180</v>
      </c>
      <c r="N11" t="s">
        <v>21</v>
      </c>
      <c r="O11">
        <v>10</v>
      </c>
      <c r="Q11">
        <v>10</v>
      </c>
      <c r="AA11" t="s">
        <v>191</v>
      </c>
    </row>
    <row r="12" spans="1:28" x14ac:dyDescent="0.35">
      <c r="A12" t="s">
        <v>72</v>
      </c>
      <c r="B12" s="2">
        <v>45971</v>
      </c>
      <c r="C12" t="s">
        <v>171</v>
      </c>
      <c r="E12" t="s">
        <v>172</v>
      </c>
      <c r="F12">
        <v>67</v>
      </c>
      <c r="G12" s="3" t="s">
        <v>173</v>
      </c>
      <c r="H12" t="s">
        <v>16</v>
      </c>
      <c r="I12" t="s">
        <v>176</v>
      </c>
      <c r="J12">
        <v>6</v>
      </c>
      <c r="M12" t="s">
        <v>180</v>
      </c>
      <c r="N12" t="s">
        <v>22</v>
      </c>
      <c r="O12">
        <v>11</v>
      </c>
      <c r="Q12">
        <v>11</v>
      </c>
      <c r="AA12" t="s">
        <v>191</v>
      </c>
    </row>
    <row r="13" spans="1:28" x14ac:dyDescent="0.35">
      <c r="A13" t="s">
        <v>73</v>
      </c>
      <c r="B13" s="2">
        <v>45971</v>
      </c>
      <c r="C13" t="s">
        <v>171</v>
      </c>
      <c r="E13" t="s">
        <v>172</v>
      </c>
      <c r="F13">
        <v>68</v>
      </c>
      <c r="G13" s="3" t="s">
        <v>173</v>
      </c>
      <c r="H13" t="s">
        <v>16</v>
      </c>
      <c r="I13" t="s">
        <v>176</v>
      </c>
      <c r="J13">
        <v>7</v>
      </c>
      <c r="M13" t="s">
        <v>180</v>
      </c>
      <c r="N13" t="s">
        <v>23</v>
      </c>
      <c r="O13">
        <v>12</v>
      </c>
      <c r="Q13">
        <v>12</v>
      </c>
      <c r="AA13" t="s">
        <v>191</v>
      </c>
    </row>
    <row r="14" spans="1:28" x14ac:dyDescent="0.35">
      <c r="A14" t="s">
        <v>74</v>
      </c>
      <c r="B14" s="2">
        <v>45971</v>
      </c>
      <c r="C14" t="s">
        <v>171</v>
      </c>
      <c r="E14" t="s">
        <v>172</v>
      </c>
      <c r="F14">
        <v>71</v>
      </c>
      <c r="G14" s="3" t="s">
        <v>173</v>
      </c>
      <c r="H14" t="s">
        <v>16</v>
      </c>
      <c r="I14" t="s">
        <v>176</v>
      </c>
      <c r="J14">
        <v>8</v>
      </c>
      <c r="M14" t="s">
        <v>180</v>
      </c>
      <c r="N14" t="s">
        <v>24</v>
      </c>
      <c r="O14">
        <v>13</v>
      </c>
      <c r="Q14">
        <v>13</v>
      </c>
      <c r="AA14" t="s">
        <v>191</v>
      </c>
    </row>
    <row r="15" spans="1:28" x14ac:dyDescent="0.35">
      <c r="A15" t="s">
        <v>75</v>
      </c>
      <c r="B15" s="2">
        <v>45971</v>
      </c>
      <c r="C15" t="s">
        <v>171</v>
      </c>
      <c r="E15" t="s">
        <v>172</v>
      </c>
      <c r="F15">
        <v>69</v>
      </c>
      <c r="G15" s="3" t="s">
        <v>173</v>
      </c>
      <c r="H15" t="s">
        <v>16</v>
      </c>
      <c r="I15" t="s">
        <v>176</v>
      </c>
      <c r="J15">
        <v>9</v>
      </c>
      <c r="M15" t="s">
        <v>180</v>
      </c>
      <c r="N15" t="s">
        <v>25</v>
      </c>
      <c r="O15">
        <v>14</v>
      </c>
      <c r="Q15">
        <v>14</v>
      </c>
      <c r="AA15" t="s">
        <v>191</v>
      </c>
    </row>
    <row r="16" spans="1:28" x14ac:dyDescent="0.35">
      <c r="A16" t="s">
        <v>76</v>
      </c>
      <c r="B16" s="2">
        <v>45971</v>
      </c>
      <c r="C16" t="s">
        <v>171</v>
      </c>
      <c r="E16" t="s">
        <v>172</v>
      </c>
      <c r="F16">
        <v>69</v>
      </c>
      <c r="G16" s="3" t="s">
        <v>173</v>
      </c>
      <c r="H16" t="s">
        <v>16</v>
      </c>
      <c r="I16" t="s">
        <v>176</v>
      </c>
      <c r="J16">
        <v>10</v>
      </c>
      <c r="M16" t="s">
        <v>180</v>
      </c>
      <c r="N16" t="s">
        <v>26</v>
      </c>
      <c r="O16">
        <v>15</v>
      </c>
      <c r="Q16">
        <v>15</v>
      </c>
      <c r="AA16" t="s">
        <v>191</v>
      </c>
    </row>
    <row r="17" spans="1:27" x14ac:dyDescent="0.35">
      <c r="A17" t="s">
        <v>77</v>
      </c>
      <c r="B17" s="2">
        <v>45971</v>
      </c>
      <c r="C17" t="s">
        <v>171</v>
      </c>
      <c r="E17" t="s">
        <v>172</v>
      </c>
      <c r="F17">
        <v>70</v>
      </c>
      <c r="G17" s="3" t="s">
        <v>173</v>
      </c>
      <c r="H17" t="s">
        <v>16</v>
      </c>
      <c r="I17" t="s">
        <v>176</v>
      </c>
      <c r="J17">
        <v>11</v>
      </c>
      <c r="M17" t="s">
        <v>180</v>
      </c>
      <c r="N17" t="s">
        <v>27</v>
      </c>
      <c r="O17">
        <v>16</v>
      </c>
      <c r="Q17">
        <v>16</v>
      </c>
      <c r="AA17" t="s">
        <v>191</v>
      </c>
    </row>
    <row r="18" spans="1:27" x14ac:dyDescent="0.35">
      <c r="A18" t="s">
        <v>78</v>
      </c>
      <c r="B18" s="2">
        <v>45971</v>
      </c>
      <c r="C18" t="s">
        <v>171</v>
      </c>
      <c r="E18" t="s">
        <v>172</v>
      </c>
      <c r="F18">
        <v>72</v>
      </c>
      <c r="G18" s="3" t="s">
        <v>173</v>
      </c>
      <c r="H18" t="s">
        <v>16</v>
      </c>
      <c r="I18" t="s">
        <v>176</v>
      </c>
      <c r="J18">
        <v>12</v>
      </c>
      <c r="M18" t="s">
        <v>180</v>
      </c>
      <c r="N18" t="s">
        <v>28</v>
      </c>
      <c r="O18">
        <v>17</v>
      </c>
      <c r="Q18">
        <v>17</v>
      </c>
      <c r="AA18" t="s">
        <v>191</v>
      </c>
    </row>
    <row r="19" spans="1:27" x14ac:dyDescent="0.35">
      <c r="A19" t="s">
        <v>79</v>
      </c>
      <c r="B19" s="2">
        <v>45971</v>
      </c>
      <c r="C19" t="s">
        <v>171</v>
      </c>
      <c r="E19" t="s">
        <v>172</v>
      </c>
      <c r="F19">
        <v>70</v>
      </c>
      <c r="G19" s="3" t="s">
        <v>174</v>
      </c>
      <c r="H19" t="s">
        <v>16</v>
      </c>
      <c r="I19" t="s">
        <v>176</v>
      </c>
      <c r="J19">
        <v>13</v>
      </c>
      <c r="M19" t="s">
        <v>180</v>
      </c>
      <c r="N19" t="s">
        <v>29</v>
      </c>
      <c r="O19">
        <v>18</v>
      </c>
      <c r="Q19">
        <v>18</v>
      </c>
      <c r="AA19" t="s">
        <v>191</v>
      </c>
    </row>
    <row r="20" spans="1:27" x14ac:dyDescent="0.35">
      <c r="A20" t="s">
        <v>80</v>
      </c>
      <c r="B20" s="2">
        <v>45971</v>
      </c>
      <c r="C20" t="s">
        <v>171</v>
      </c>
      <c r="E20" t="s">
        <v>172</v>
      </c>
      <c r="F20">
        <v>73</v>
      </c>
      <c r="G20" s="3" t="s">
        <v>174</v>
      </c>
      <c r="H20" t="s">
        <v>16</v>
      </c>
      <c r="I20" t="s">
        <v>176</v>
      </c>
      <c r="J20">
        <v>14</v>
      </c>
      <c r="M20" t="s">
        <v>180</v>
      </c>
      <c r="N20" t="s">
        <v>30</v>
      </c>
      <c r="O20">
        <v>19</v>
      </c>
      <c r="Q20">
        <v>19</v>
      </c>
      <c r="AA20" t="s">
        <v>191</v>
      </c>
    </row>
    <row r="21" spans="1:27" x14ac:dyDescent="0.35">
      <c r="A21" t="s">
        <v>81</v>
      </c>
      <c r="B21" s="2">
        <v>45971</v>
      </c>
      <c r="C21" t="s">
        <v>171</v>
      </c>
      <c r="E21" t="s">
        <v>172</v>
      </c>
      <c r="F21">
        <v>59</v>
      </c>
      <c r="G21" s="3" t="s">
        <v>174</v>
      </c>
      <c r="H21" t="s">
        <v>16</v>
      </c>
      <c r="I21" t="s">
        <v>176</v>
      </c>
      <c r="J21">
        <v>15</v>
      </c>
      <c r="M21" t="s">
        <v>180</v>
      </c>
      <c r="N21" t="s">
        <v>31</v>
      </c>
      <c r="O21">
        <v>20</v>
      </c>
      <c r="Q21">
        <v>20</v>
      </c>
      <c r="AA21" t="s">
        <v>191</v>
      </c>
    </row>
    <row r="22" spans="1:27" x14ac:dyDescent="0.35">
      <c r="A22" t="s">
        <v>82</v>
      </c>
      <c r="B22" s="2">
        <v>45971</v>
      </c>
      <c r="C22" t="s">
        <v>171</v>
      </c>
      <c r="E22" t="s">
        <v>172</v>
      </c>
      <c r="F22">
        <v>61</v>
      </c>
      <c r="G22" s="3" t="s">
        <v>174</v>
      </c>
      <c r="H22" t="s">
        <v>16</v>
      </c>
      <c r="I22" t="s">
        <v>176</v>
      </c>
      <c r="J22">
        <v>16</v>
      </c>
      <c r="M22" t="s">
        <v>180</v>
      </c>
      <c r="N22" t="s">
        <v>32</v>
      </c>
      <c r="O22">
        <v>21</v>
      </c>
      <c r="Q22">
        <v>21</v>
      </c>
      <c r="AA22" t="s">
        <v>191</v>
      </c>
    </row>
    <row r="23" spans="1:27" x14ac:dyDescent="0.35">
      <c r="A23" t="s">
        <v>83</v>
      </c>
      <c r="B23" s="2">
        <v>45971</v>
      </c>
      <c r="C23" t="s">
        <v>171</v>
      </c>
      <c r="E23" t="s">
        <v>172</v>
      </c>
      <c r="F23">
        <v>69</v>
      </c>
      <c r="G23" s="3" t="s">
        <v>174</v>
      </c>
      <c r="H23" t="s">
        <v>16</v>
      </c>
      <c r="I23" t="s">
        <v>176</v>
      </c>
      <c r="J23">
        <v>17</v>
      </c>
      <c r="M23" t="s">
        <v>180</v>
      </c>
      <c r="N23" t="s">
        <v>33</v>
      </c>
      <c r="O23">
        <v>22</v>
      </c>
      <c r="Q23">
        <v>22</v>
      </c>
      <c r="AA23" t="s">
        <v>191</v>
      </c>
    </row>
    <row r="24" spans="1:27" x14ac:dyDescent="0.35">
      <c r="A24" t="s">
        <v>84</v>
      </c>
      <c r="B24" s="2">
        <v>45971</v>
      </c>
      <c r="C24" t="s">
        <v>171</v>
      </c>
      <c r="E24" t="s">
        <v>172</v>
      </c>
      <c r="F24">
        <v>67</v>
      </c>
      <c r="G24" s="3" t="s">
        <v>174</v>
      </c>
      <c r="H24" t="s">
        <v>16</v>
      </c>
      <c r="I24" t="s">
        <v>176</v>
      </c>
      <c r="J24">
        <v>18</v>
      </c>
      <c r="M24" t="s">
        <v>180</v>
      </c>
      <c r="N24" t="s">
        <v>34</v>
      </c>
      <c r="O24">
        <v>23</v>
      </c>
      <c r="Q24">
        <v>23</v>
      </c>
      <c r="AA24" t="s">
        <v>191</v>
      </c>
    </row>
    <row r="25" spans="1:27" x14ac:dyDescent="0.35">
      <c r="A25" t="s">
        <v>85</v>
      </c>
      <c r="B25" s="2">
        <v>45971</v>
      </c>
      <c r="C25" t="s">
        <v>171</v>
      </c>
      <c r="E25" t="s">
        <v>172</v>
      </c>
      <c r="F25">
        <v>77</v>
      </c>
      <c r="G25" s="3" t="s">
        <v>174</v>
      </c>
      <c r="H25" t="s">
        <v>16</v>
      </c>
      <c r="I25" t="s">
        <v>176</v>
      </c>
      <c r="J25">
        <v>19</v>
      </c>
      <c r="M25" t="s">
        <v>180</v>
      </c>
      <c r="N25" t="s">
        <v>35</v>
      </c>
      <c r="O25">
        <v>24</v>
      </c>
      <c r="Q25">
        <v>24</v>
      </c>
      <c r="AA25" t="s">
        <v>191</v>
      </c>
    </row>
    <row r="26" spans="1:27" x14ac:dyDescent="0.35">
      <c r="A26" t="s">
        <v>86</v>
      </c>
      <c r="B26" s="2">
        <v>45971</v>
      </c>
      <c r="C26" t="s">
        <v>171</v>
      </c>
      <c r="E26" t="s">
        <v>172</v>
      </c>
      <c r="F26">
        <v>65</v>
      </c>
      <c r="G26" s="3" t="s">
        <v>174</v>
      </c>
      <c r="H26" t="s">
        <v>16</v>
      </c>
      <c r="I26" t="s">
        <v>176</v>
      </c>
      <c r="J26">
        <v>20</v>
      </c>
      <c r="M26" t="s">
        <v>180</v>
      </c>
      <c r="N26" t="s">
        <v>36</v>
      </c>
      <c r="O26">
        <v>25</v>
      </c>
      <c r="Q26">
        <v>25</v>
      </c>
      <c r="AA26" t="s">
        <v>191</v>
      </c>
    </row>
    <row r="27" spans="1:27" x14ac:dyDescent="0.35">
      <c r="A27" t="s">
        <v>87</v>
      </c>
      <c r="B27" s="2">
        <v>45971</v>
      </c>
      <c r="C27" t="s">
        <v>171</v>
      </c>
      <c r="E27" t="s">
        <v>172</v>
      </c>
      <c r="F27">
        <v>77</v>
      </c>
      <c r="G27" s="3" t="s">
        <v>174</v>
      </c>
      <c r="H27" t="s">
        <v>16</v>
      </c>
      <c r="I27" t="s">
        <v>187</v>
      </c>
      <c r="J27">
        <v>1</v>
      </c>
      <c r="M27" t="s">
        <v>180</v>
      </c>
      <c r="N27" t="s">
        <v>37</v>
      </c>
      <c r="O27">
        <v>26</v>
      </c>
      <c r="Q27">
        <v>26</v>
      </c>
      <c r="AA27" t="s">
        <v>191</v>
      </c>
    </row>
    <row r="28" spans="1:27" x14ac:dyDescent="0.35">
      <c r="A28" t="s">
        <v>88</v>
      </c>
      <c r="B28" s="2">
        <v>45971</v>
      </c>
      <c r="C28" t="s">
        <v>171</v>
      </c>
      <c r="E28" t="s">
        <v>172</v>
      </c>
      <c r="F28">
        <v>70</v>
      </c>
      <c r="G28" s="3" t="s">
        <v>174</v>
      </c>
      <c r="H28" t="s">
        <v>16</v>
      </c>
      <c r="I28" t="s">
        <v>187</v>
      </c>
      <c r="J28">
        <v>2</v>
      </c>
      <c r="M28" t="s">
        <v>180</v>
      </c>
      <c r="N28" t="s">
        <v>38</v>
      </c>
      <c r="O28">
        <v>27</v>
      </c>
      <c r="Q28">
        <v>27</v>
      </c>
      <c r="AA28" t="s">
        <v>191</v>
      </c>
    </row>
    <row r="29" spans="1:27" x14ac:dyDescent="0.35">
      <c r="A29" t="s">
        <v>89</v>
      </c>
      <c r="B29" s="2">
        <v>45971</v>
      </c>
      <c r="C29" t="s">
        <v>171</v>
      </c>
      <c r="E29" t="s">
        <v>172</v>
      </c>
      <c r="F29">
        <v>66</v>
      </c>
      <c r="G29" s="3" t="s">
        <v>174</v>
      </c>
      <c r="H29" t="s">
        <v>16</v>
      </c>
      <c r="I29" t="s">
        <v>187</v>
      </c>
      <c r="J29">
        <v>3</v>
      </c>
      <c r="M29" t="s">
        <v>180</v>
      </c>
      <c r="N29" t="s">
        <v>39</v>
      </c>
      <c r="O29">
        <v>28</v>
      </c>
      <c r="Q29">
        <v>28</v>
      </c>
      <c r="AA29" t="s">
        <v>191</v>
      </c>
    </row>
    <row r="30" spans="1:27" x14ac:dyDescent="0.35">
      <c r="A30" t="s">
        <v>90</v>
      </c>
      <c r="B30" s="2">
        <v>45971</v>
      </c>
      <c r="C30" t="s">
        <v>171</v>
      </c>
      <c r="E30" t="s">
        <v>172</v>
      </c>
      <c r="F30">
        <v>70</v>
      </c>
      <c r="G30" s="3" t="s">
        <v>174</v>
      </c>
      <c r="H30" t="s">
        <v>16</v>
      </c>
      <c r="I30" t="s">
        <v>187</v>
      </c>
      <c r="J30">
        <v>4</v>
      </c>
      <c r="M30" t="s">
        <v>180</v>
      </c>
      <c r="N30" t="s">
        <v>41</v>
      </c>
      <c r="O30">
        <v>29</v>
      </c>
      <c r="Q30">
        <v>29</v>
      </c>
      <c r="AA30" t="s">
        <v>191</v>
      </c>
    </row>
    <row r="31" spans="1:27" x14ac:dyDescent="0.35">
      <c r="A31" t="s">
        <v>91</v>
      </c>
      <c r="B31" s="2">
        <v>45971</v>
      </c>
      <c r="C31" t="s">
        <v>171</v>
      </c>
      <c r="E31" t="s">
        <v>172</v>
      </c>
      <c r="F31">
        <v>83</v>
      </c>
      <c r="G31" s="3" t="s">
        <v>173</v>
      </c>
      <c r="H31" t="s">
        <v>48</v>
      </c>
      <c r="I31" t="s">
        <v>187</v>
      </c>
      <c r="J31">
        <v>5</v>
      </c>
      <c r="M31" t="s">
        <v>180</v>
      </c>
      <c r="N31" t="s">
        <v>42</v>
      </c>
      <c r="O31">
        <v>30</v>
      </c>
      <c r="Q31">
        <v>30</v>
      </c>
      <c r="AA31" t="s">
        <v>191</v>
      </c>
    </row>
    <row r="32" spans="1:27" x14ac:dyDescent="0.35">
      <c r="A32" t="s">
        <v>92</v>
      </c>
      <c r="B32" s="2">
        <v>45971</v>
      </c>
      <c r="C32" t="s">
        <v>171</v>
      </c>
      <c r="E32" t="s">
        <v>172</v>
      </c>
      <c r="F32">
        <v>63</v>
      </c>
      <c r="G32" s="3" t="s">
        <v>174</v>
      </c>
      <c r="H32" t="s">
        <v>48</v>
      </c>
      <c r="I32" t="s">
        <v>187</v>
      </c>
      <c r="J32">
        <v>6</v>
      </c>
      <c r="M32" t="s">
        <v>180</v>
      </c>
      <c r="N32" t="s">
        <v>43</v>
      </c>
      <c r="O32" t="s">
        <v>190</v>
      </c>
      <c r="Q32">
        <v>31</v>
      </c>
      <c r="AA32" t="s">
        <v>191</v>
      </c>
    </row>
    <row r="33" spans="1:27" x14ac:dyDescent="0.35">
      <c r="A33" t="s">
        <v>93</v>
      </c>
      <c r="B33" s="2">
        <v>45973</v>
      </c>
      <c r="C33" t="s">
        <v>171</v>
      </c>
      <c r="E33" t="s">
        <v>172</v>
      </c>
      <c r="F33">
        <v>78</v>
      </c>
      <c r="G33" s="3" t="s">
        <v>173</v>
      </c>
      <c r="H33" t="s">
        <v>16</v>
      </c>
      <c r="I33" t="s">
        <v>182</v>
      </c>
      <c r="J33">
        <v>1</v>
      </c>
      <c r="M33" t="s">
        <v>180</v>
      </c>
      <c r="N33" t="s">
        <v>17</v>
      </c>
      <c r="O33">
        <v>31</v>
      </c>
      <c r="Q33">
        <v>42</v>
      </c>
      <c r="AA33" t="s">
        <v>181</v>
      </c>
    </row>
    <row r="34" spans="1:27" x14ac:dyDescent="0.35">
      <c r="A34" t="s">
        <v>94</v>
      </c>
      <c r="B34" s="2">
        <v>45973</v>
      </c>
      <c r="C34" t="s">
        <v>171</v>
      </c>
      <c r="E34" t="s">
        <v>172</v>
      </c>
      <c r="F34">
        <v>74</v>
      </c>
      <c r="G34" s="3" t="s">
        <v>173</v>
      </c>
      <c r="H34" t="s">
        <v>16</v>
      </c>
      <c r="I34" t="s">
        <v>182</v>
      </c>
      <c r="J34">
        <v>2</v>
      </c>
      <c r="M34" t="s">
        <v>180</v>
      </c>
      <c r="N34" t="s">
        <v>18</v>
      </c>
      <c r="O34">
        <v>32</v>
      </c>
      <c r="Q34">
        <v>43</v>
      </c>
      <c r="AA34" t="s">
        <v>191</v>
      </c>
    </row>
    <row r="35" spans="1:27" x14ac:dyDescent="0.35">
      <c r="A35" t="s">
        <v>95</v>
      </c>
      <c r="B35" s="2">
        <v>45973</v>
      </c>
      <c r="C35" t="s">
        <v>171</v>
      </c>
      <c r="E35" t="s">
        <v>172</v>
      </c>
      <c r="F35">
        <v>72</v>
      </c>
      <c r="G35" s="3" t="s">
        <v>173</v>
      </c>
      <c r="H35" t="s">
        <v>16</v>
      </c>
      <c r="I35" t="s">
        <v>182</v>
      </c>
      <c r="J35">
        <v>3</v>
      </c>
      <c r="M35" t="s">
        <v>180</v>
      </c>
      <c r="N35" t="s">
        <v>19</v>
      </c>
      <c r="O35">
        <v>33</v>
      </c>
      <c r="Q35">
        <v>44</v>
      </c>
      <c r="AA35" t="s">
        <v>191</v>
      </c>
    </row>
    <row r="36" spans="1:27" x14ac:dyDescent="0.35">
      <c r="A36" t="s">
        <v>96</v>
      </c>
      <c r="B36" s="2">
        <v>45973</v>
      </c>
      <c r="C36" t="s">
        <v>171</v>
      </c>
      <c r="E36" t="s">
        <v>172</v>
      </c>
      <c r="F36">
        <v>67</v>
      </c>
      <c r="G36" s="3" t="s">
        <v>173</v>
      </c>
      <c r="H36" t="s">
        <v>16</v>
      </c>
      <c r="I36" t="s">
        <v>182</v>
      </c>
      <c r="J36">
        <v>4</v>
      </c>
      <c r="M36" t="s">
        <v>180</v>
      </c>
      <c r="N36" t="s">
        <v>20</v>
      </c>
      <c r="O36">
        <v>34</v>
      </c>
      <c r="Q36">
        <v>45</v>
      </c>
      <c r="AA36" t="s">
        <v>191</v>
      </c>
    </row>
    <row r="37" spans="1:27" x14ac:dyDescent="0.35">
      <c r="A37" t="s">
        <v>97</v>
      </c>
      <c r="B37" s="2">
        <v>45973</v>
      </c>
      <c r="C37" t="s">
        <v>171</v>
      </c>
      <c r="E37" t="s">
        <v>172</v>
      </c>
      <c r="F37">
        <v>68</v>
      </c>
      <c r="G37" s="3" t="s">
        <v>173</v>
      </c>
      <c r="H37" t="s">
        <v>16</v>
      </c>
      <c r="I37" t="s">
        <v>182</v>
      </c>
      <c r="J37">
        <v>5</v>
      </c>
      <c r="M37" t="s">
        <v>180</v>
      </c>
      <c r="N37" t="s">
        <v>21</v>
      </c>
      <c r="O37">
        <v>35</v>
      </c>
      <c r="Q37">
        <v>46</v>
      </c>
      <c r="AA37" t="s">
        <v>191</v>
      </c>
    </row>
    <row r="38" spans="1:27" x14ac:dyDescent="0.35">
      <c r="A38" t="s">
        <v>98</v>
      </c>
      <c r="B38" s="2">
        <v>45973</v>
      </c>
      <c r="C38" t="s">
        <v>171</v>
      </c>
      <c r="E38" t="s">
        <v>172</v>
      </c>
      <c r="F38">
        <v>70</v>
      </c>
      <c r="G38" s="3" t="s">
        <v>173</v>
      </c>
      <c r="H38" t="s">
        <v>16</v>
      </c>
      <c r="I38" t="s">
        <v>182</v>
      </c>
      <c r="J38">
        <v>6</v>
      </c>
      <c r="M38" t="s">
        <v>180</v>
      </c>
      <c r="N38" t="s">
        <v>22</v>
      </c>
      <c r="O38">
        <v>36</v>
      </c>
      <c r="Q38">
        <v>47</v>
      </c>
      <c r="AA38" t="s">
        <v>191</v>
      </c>
    </row>
    <row r="39" spans="1:27" x14ac:dyDescent="0.35">
      <c r="A39" t="s">
        <v>99</v>
      </c>
      <c r="B39" s="2">
        <v>45973</v>
      </c>
      <c r="C39" t="s">
        <v>171</v>
      </c>
      <c r="E39" t="s">
        <v>172</v>
      </c>
      <c r="F39">
        <v>75</v>
      </c>
      <c r="G39" s="3" t="s">
        <v>173</v>
      </c>
      <c r="H39" t="s">
        <v>16</v>
      </c>
      <c r="I39" t="s">
        <v>182</v>
      </c>
      <c r="J39">
        <v>7</v>
      </c>
      <c r="M39" t="s">
        <v>180</v>
      </c>
      <c r="N39" t="s">
        <v>23</v>
      </c>
      <c r="O39">
        <v>37</v>
      </c>
      <c r="Q39">
        <v>48</v>
      </c>
      <c r="AA39" t="s">
        <v>191</v>
      </c>
    </row>
    <row r="40" spans="1:27" x14ac:dyDescent="0.35">
      <c r="A40" t="s">
        <v>100</v>
      </c>
      <c r="B40" s="2">
        <v>45973</v>
      </c>
      <c r="C40" t="s">
        <v>171</v>
      </c>
      <c r="E40" t="s">
        <v>172</v>
      </c>
      <c r="F40">
        <v>72</v>
      </c>
      <c r="G40" s="3" t="s">
        <v>173</v>
      </c>
      <c r="H40" t="s">
        <v>16</v>
      </c>
      <c r="I40" t="s">
        <v>182</v>
      </c>
      <c r="J40">
        <v>8</v>
      </c>
      <c r="M40" t="s">
        <v>180</v>
      </c>
      <c r="N40" t="s">
        <v>24</v>
      </c>
      <c r="O40">
        <v>38</v>
      </c>
      <c r="Q40">
        <v>49</v>
      </c>
      <c r="AA40" t="s">
        <v>191</v>
      </c>
    </row>
    <row r="41" spans="1:27" x14ac:dyDescent="0.35">
      <c r="A41" t="s">
        <v>101</v>
      </c>
      <c r="B41" s="2">
        <v>45973</v>
      </c>
      <c r="C41" t="s">
        <v>171</v>
      </c>
      <c r="E41" t="s">
        <v>172</v>
      </c>
      <c r="F41">
        <v>73</v>
      </c>
      <c r="G41" s="3" t="s">
        <v>173</v>
      </c>
      <c r="H41" t="s">
        <v>16</v>
      </c>
      <c r="I41" t="s">
        <v>182</v>
      </c>
      <c r="J41">
        <v>9</v>
      </c>
      <c r="M41" t="s">
        <v>180</v>
      </c>
      <c r="N41" t="s">
        <v>25</v>
      </c>
      <c r="O41">
        <v>39</v>
      </c>
      <c r="Q41" t="s">
        <v>192</v>
      </c>
      <c r="AA41" t="s">
        <v>191</v>
      </c>
    </row>
    <row r="42" spans="1:27" x14ac:dyDescent="0.35">
      <c r="A42" t="s">
        <v>102</v>
      </c>
      <c r="B42" s="2">
        <v>45973</v>
      </c>
      <c r="C42" t="s">
        <v>171</v>
      </c>
      <c r="E42" t="s">
        <v>172</v>
      </c>
      <c r="F42">
        <v>62</v>
      </c>
      <c r="G42" s="3" t="s">
        <v>173</v>
      </c>
      <c r="H42" t="s">
        <v>16</v>
      </c>
      <c r="I42" t="s">
        <v>182</v>
      </c>
      <c r="J42">
        <v>10</v>
      </c>
      <c r="M42" t="s">
        <v>180</v>
      </c>
      <c r="N42" t="s">
        <v>26</v>
      </c>
      <c r="O42">
        <v>40</v>
      </c>
      <c r="Q42">
        <v>50</v>
      </c>
      <c r="AA42" t="s">
        <v>191</v>
      </c>
    </row>
    <row r="43" spans="1:27" x14ac:dyDescent="0.35">
      <c r="A43" t="s">
        <v>103</v>
      </c>
      <c r="B43" s="2">
        <v>45973</v>
      </c>
      <c r="C43" t="s">
        <v>171</v>
      </c>
      <c r="E43" t="s">
        <v>172</v>
      </c>
      <c r="F43">
        <v>82</v>
      </c>
      <c r="G43" s="3" t="s">
        <v>173</v>
      </c>
      <c r="H43" t="s">
        <v>16</v>
      </c>
      <c r="I43" t="s">
        <v>182</v>
      </c>
      <c r="J43">
        <v>11</v>
      </c>
      <c r="M43" t="s">
        <v>180</v>
      </c>
      <c r="N43" t="s">
        <v>27</v>
      </c>
      <c r="O43">
        <v>41</v>
      </c>
      <c r="Q43">
        <v>51</v>
      </c>
      <c r="AA43" t="s">
        <v>191</v>
      </c>
    </row>
    <row r="44" spans="1:27" x14ac:dyDescent="0.35">
      <c r="A44" t="s">
        <v>104</v>
      </c>
      <c r="B44" s="2">
        <v>45973</v>
      </c>
      <c r="C44" t="s">
        <v>171</v>
      </c>
      <c r="E44" t="s">
        <v>172</v>
      </c>
      <c r="F44">
        <v>74</v>
      </c>
      <c r="G44" s="3" t="s">
        <v>173</v>
      </c>
      <c r="H44" t="s">
        <v>16</v>
      </c>
      <c r="I44" t="s">
        <v>182</v>
      </c>
      <c r="J44">
        <v>12</v>
      </c>
      <c r="M44" t="s">
        <v>180</v>
      </c>
      <c r="N44" t="s">
        <v>28</v>
      </c>
      <c r="O44">
        <v>42</v>
      </c>
      <c r="Q44">
        <v>52</v>
      </c>
      <c r="AA44" t="s">
        <v>191</v>
      </c>
    </row>
    <row r="45" spans="1:27" x14ac:dyDescent="0.35">
      <c r="A45" t="s">
        <v>105</v>
      </c>
      <c r="B45" s="2">
        <v>45973</v>
      </c>
      <c r="C45" t="s">
        <v>171</v>
      </c>
      <c r="E45" t="s">
        <v>172</v>
      </c>
      <c r="F45">
        <v>66</v>
      </c>
      <c r="G45" s="3" t="s">
        <v>173</v>
      </c>
      <c r="H45" t="s">
        <v>16</v>
      </c>
      <c r="I45" t="s">
        <v>182</v>
      </c>
      <c r="J45">
        <v>13</v>
      </c>
      <c r="M45" t="s">
        <v>180</v>
      </c>
      <c r="N45" t="s">
        <v>29</v>
      </c>
      <c r="O45">
        <v>43</v>
      </c>
      <c r="Q45">
        <v>53</v>
      </c>
      <c r="AA45" t="s">
        <v>191</v>
      </c>
    </row>
    <row r="46" spans="1:27" x14ac:dyDescent="0.35">
      <c r="A46" t="s">
        <v>106</v>
      </c>
      <c r="B46" s="2">
        <v>45973</v>
      </c>
      <c r="C46" t="s">
        <v>171</v>
      </c>
      <c r="E46" t="s">
        <v>172</v>
      </c>
      <c r="F46">
        <v>65</v>
      </c>
      <c r="G46" s="3" t="s">
        <v>173</v>
      </c>
      <c r="H46" t="s">
        <v>16</v>
      </c>
      <c r="I46" t="s">
        <v>182</v>
      </c>
      <c r="J46">
        <v>14</v>
      </c>
      <c r="M46" t="s">
        <v>180</v>
      </c>
      <c r="N46" t="s">
        <v>30</v>
      </c>
      <c r="O46">
        <v>44</v>
      </c>
      <c r="Q46">
        <v>54</v>
      </c>
      <c r="AA46" t="s">
        <v>191</v>
      </c>
    </row>
    <row r="47" spans="1:27" x14ac:dyDescent="0.35">
      <c r="A47" t="s">
        <v>107</v>
      </c>
      <c r="B47" s="2">
        <v>45973</v>
      </c>
      <c r="C47" t="s">
        <v>171</v>
      </c>
      <c r="E47" t="s">
        <v>172</v>
      </c>
      <c r="F47">
        <v>66</v>
      </c>
      <c r="G47" s="3" t="s">
        <v>173</v>
      </c>
      <c r="H47" t="s">
        <v>16</v>
      </c>
      <c r="I47" t="s">
        <v>182</v>
      </c>
      <c r="J47">
        <v>15</v>
      </c>
      <c r="M47" t="s">
        <v>180</v>
      </c>
      <c r="N47" t="s">
        <v>31</v>
      </c>
      <c r="O47">
        <v>45</v>
      </c>
      <c r="Q47">
        <v>55</v>
      </c>
      <c r="AA47" t="s">
        <v>191</v>
      </c>
    </row>
    <row r="48" spans="1:27" x14ac:dyDescent="0.35">
      <c r="A48" t="s">
        <v>108</v>
      </c>
      <c r="B48" s="2">
        <v>45973</v>
      </c>
      <c r="C48" t="s">
        <v>171</v>
      </c>
      <c r="E48" t="s">
        <v>172</v>
      </c>
      <c r="F48">
        <v>68</v>
      </c>
      <c r="G48" s="3" t="s">
        <v>173</v>
      </c>
      <c r="H48" t="s">
        <v>16</v>
      </c>
      <c r="I48" t="s">
        <v>182</v>
      </c>
      <c r="J48">
        <v>16</v>
      </c>
      <c r="M48" t="s">
        <v>180</v>
      </c>
      <c r="N48" t="s">
        <v>32</v>
      </c>
      <c r="O48">
        <v>46</v>
      </c>
      <c r="Q48">
        <v>56</v>
      </c>
      <c r="AA48" t="s">
        <v>191</v>
      </c>
    </row>
    <row r="49" spans="1:27" x14ac:dyDescent="0.35">
      <c r="A49" t="s">
        <v>109</v>
      </c>
      <c r="B49" s="2">
        <v>45973</v>
      </c>
      <c r="C49" t="s">
        <v>171</v>
      </c>
      <c r="E49" t="s">
        <v>172</v>
      </c>
      <c r="F49">
        <v>70</v>
      </c>
      <c r="G49" s="3" t="s">
        <v>173</v>
      </c>
      <c r="H49" t="s">
        <v>16</v>
      </c>
      <c r="I49" t="s">
        <v>182</v>
      </c>
      <c r="J49">
        <v>17</v>
      </c>
      <c r="M49" t="s">
        <v>180</v>
      </c>
      <c r="N49" t="s">
        <v>33</v>
      </c>
      <c r="O49">
        <v>47</v>
      </c>
      <c r="Q49">
        <v>57</v>
      </c>
      <c r="AA49" t="s">
        <v>191</v>
      </c>
    </row>
    <row r="50" spans="1:27" x14ac:dyDescent="0.35">
      <c r="A50" t="s">
        <v>110</v>
      </c>
      <c r="B50" s="2">
        <v>45973</v>
      </c>
      <c r="C50" t="s">
        <v>171</v>
      </c>
      <c r="E50" t="s">
        <v>172</v>
      </c>
      <c r="F50">
        <v>69</v>
      </c>
      <c r="G50" s="3" t="s">
        <v>173</v>
      </c>
      <c r="H50" t="s">
        <v>16</v>
      </c>
      <c r="I50" t="s">
        <v>182</v>
      </c>
      <c r="J50">
        <v>18</v>
      </c>
      <c r="M50" t="s">
        <v>180</v>
      </c>
      <c r="N50" t="s">
        <v>34</v>
      </c>
      <c r="O50">
        <v>48</v>
      </c>
      <c r="Q50">
        <v>58</v>
      </c>
      <c r="AA50" t="s">
        <v>191</v>
      </c>
    </row>
    <row r="51" spans="1:27" x14ac:dyDescent="0.35">
      <c r="A51" t="s">
        <v>111</v>
      </c>
      <c r="B51" s="2">
        <v>45973</v>
      </c>
      <c r="C51" t="s">
        <v>171</v>
      </c>
      <c r="E51" t="s">
        <v>172</v>
      </c>
      <c r="F51">
        <v>70</v>
      </c>
      <c r="G51" s="3" t="s">
        <v>173</v>
      </c>
      <c r="H51" t="s">
        <v>16</v>
      </c>
      <c r="I51" t="s">
        <v>182</v>
      </c>
      <c r="J51">
        <v>19</v>
      </c>
      <c r="M51" t="s">
        <v>180</v>
      </c>
      <c r="N51" t="s">
        <v>35</v>
      </c>
      <c r="O51">
        <v>49</v>
      </c>
      <c r="Q51">
        <v>59</v>
      </c>
      <c r="AA51" t="s">
        <v>191</v>
      </c>
    </row>
    <row r="52" spans="1:27" x14ac:dyDescent="0.35">
      <c r="A52" t="s">
        <v>112</v>
      </c>
      <c r="B52" s="2">
        <v>45973</v>
      </c>
      <c r="C52" t="s">
        <v>171</v>
      </c>
      <c r="E52" t="s">
        <v>172</v>
      </c>
      <c r="F52">
        <v>70</v>
      </c>
      <c r="G52" s="3" t="s">
        <v>174</v>
      </c>
      <c r="H52" t="s">
        <v>16</v>
      </c>
      <c r="I52" t="s">
        <v>182</v>
      </c>
      <c r="J52">
        <v>20</v>
      </c>
      <c r="M52" t="s">
        <v>180</v>
      </c>
      <c r="N52" t="s">
        <v>36</v>
      </c>
      <c r="O52">
        <v>50</v>
      </c>
      <c r="Q52">
        <v>60</v>
      </c>
      <c r="AA52" t="s">
        <v>191</v>
      </c>
    </row>
    <row r="53" spans="1:27" x14ac:dyDescent="0.35">
      <c r="A53" t="s">
        <v>113</v>
      </c>
      <c r="B53" s="2">
        <v>45973</v>
      </c>
      <c r="C53" t="s">
        <v>171</v>
      </c>
      <c r="E53" t="s">
        <v>172</v>
      </c>
      <c r="F53">
        <v>69</v>
      </c>
      <c r="G53" s="3" t="s">
        <v>173</v>
      </c>
      <c r="H53" t="s">
        <v>16</v>
      </c>
      <c r="I53" t="s">
        <v>177</v>
      </c>
      <c r="J53">
        <v>1</v>
      </c>
      <c r="M53" t="s">
        <v>180</v>
      </c>
      <c r="N53" t="s">
        <v>17</v>
      </c>
      <c r="O53">
        <v>51</v>
      </c>
      <c r="Q53">
        <v>32</v>
      </c>
      <c r="AA53" t="s">
        <v>181</v>
      </c>
    </row>
    <row r="54" spans="1:27" x14ac:dyDescent="0.35">
      <c r="A54" t="s">
        <v>114</v>
      </c>
      <c r="B54" s="2">
        <v>45973</v>
      </c>
      <c r="C54" t="s">
        <v>171</v>
      </c>
      <c r="E54" t="s">
        <v>172</v>
      </c>
      <c r="F54">
        <v>67</v>
      </c>
      <c r="G54" s="3" t="s">
        <v>173</v>
      </c>
      <c r="H54" t="s">
        <v>16</v>
      </c>
      <c r="I54" t="s">
        <v>177</v>
      </c>
      <c r="J54">
        <v>2</v>
      </c>
      <c r="M54" t="s">
        <v>180</v>
      </c>
      <c r="N54" t="s">
        <v>18</v>
      </c>
      <c r="O54">
        <v>52</v>
      </c>
      <c r="Q54">
        <v>33</v>
      </c>
      <c r="AA54" t="s">
        <v>181</v>
      </c>
    </row>
    <row r="55" spans="1:27" x14ac:dyDescent="0.35">
      <c r="A55" t="s">
        <v>115</v>
      </c>
      <c r="B55" s="2">
        <v>45973</v>
      </c>
      <c r="C55" t="s">
        <v>171</v>
      </c>
      <c r="E55" t="s">
        <v>172</v>
      </c>
      <c r="F55">
        <v>71</v>
      </c>
      <c r="G55" s="3" t="s">
        <v>174</v>
      </c>
      <c r="H55" t="s">
        <v>16</v>
      </c>
      <c r="I55" t="s">
        <v>177</v>
      </c>
      <c r="J55">
        <v>3</v>
      </c>
      <c r="M55" t="s">
        <v>180</v>
      </c>
      <c r="N55" t="s">
        <v>19</v>
      </c>
      <c r="O55">
        <v>53</v>
      </c>
      <c r="Q55">
        <v>34</v>
      </c>
      <c r="AA55" t="s">
        <v>181</v>
      </c>
    </row>
    <row r="56" spans="1:27" x14ac:dyDescent="0.35">
      <c r="A56" t="s">
        <v>116</v>
      </c>
      <c r="B56" s="2">
        <v>45973</v>
      </c>
      <c r="C56" t="s">
        <v>171</v>
      </c>
      <c r="E56" t="s">
        <v>172</v>
      </c>
      <c r="F56">
        <v>60</v>
      </c>
      <c r="G56" s="3" t="s">
        <v>174</v>
      </c>
      <c r="H56" t="s">
        <v>16</v>
      </c>
      <c r="I56" t="s">
        <v>177</v>
      </c>
      <c r="J56">
        <v>4</v>
      </c>
      <c r="M56" t="s">
        <v>180</v>
      </c>
      <c r="N56" t="s">
        <v>20</v>
      </c>
      <c r="O56">
        <v>54</v>
      </c>
      <c r="Q56">
        <v>35</v>
      </c>
      <c r="AA56" t="s">
        <v>181</v>
      </c>
    </row>
    <row r="57" spans="1:27" x14ac:dyDescent="0.35">
      <c r="A57" t="s">
        <v>117</v>
      </c>
      <c r="B57" s="2">
        <v>45973</v>
      </c>
      <c r="C57" t="s">
        <v>171</v>
      </c>
      <c r="E57" t="s">
        <v>172</v>
      </c>
      <c r="F57">
        <v>75</v>
      </c>
      <c r="G57" s="3" t="s">
        <v>174</v>
      </c>
      <c r="H57" t="s">
        <v>16</v>
      </c>
      <c r="I57" t="s">
        <v>177</v>
      </c>
      <c r="J57">
        <v>5</v>
      </c>
      <c r="M57" t="s">
        <v>180</v>
      </c>
      <c r="N57" t="s">
        <v>21</v>
      </c>
      <c r="O57">
        <v>55</v>
      </c>
      <c r="Q57">
        <v>36</v>
      </c>
      <c r="AA57" t="s">
        <v>181</v>
      </c>
    </row>
    <row r="58" spans="1:27" x14ac:dyDescent="0.35">
      <c r="A58" t="s">
        <v>118</v>
      </c>
      <c r="B58" s="2">
        <v>45973</v>
      </c>
      <c r="C58" t="s">
        <v>171</v>
      </c>
      <c r="E58" t="s">
        <v>172</v>
      </c>
      <c r="F58">
        <v>64</v>
      </c>
      <c r="G58" s="3" t="s">
        <v>174</v>
      </c>
      <c r="H58" t="s">
        <v>16</v>
      </c>
      <c r="I58" t="s">
        <v>177</v>
      </c>
      <c r="J58">
        <v>6</v>
      </c>
      <c r="M58" t="s">
        <v>180</v>
      </c>
      <c r="N58" t="s">
        <v>22</v>
      </c>
      <c r="O58">
        <v>56</v>
      </c>
      <c r="Q58">
        <v>37</v>
      </c>
      <c r="AA58" t="s">
        <v>181</v>
      </c>
    </row>
    <row r="59" spans="1:27" x14ac:dyDescent="0.35">
      <c r="A59" t="s">
        <v>119</v>
      </c>
      <c r="B59" s="2">
        <v>45973</v>
      </c>
      <c r="C59" t="s">
        <v>171</v>
      </c>
      <c r="E59" t="s">
        <v>172</v>
      </c>
      <c r="F59">
        <v>63</v>
      </c>
      <c r="G59" s="3" t="s">
        <v>174</v>
      </c>
      <c r="H59" t="s">
        <v>16</v>
      </c>
      <c r="I59" t="s">
        <v>177</v>
      </c>
      <c r="J59">
        <v>7</v>
      </c>
      <c r="M59" t="s">
        <v>180</v>
      </c>
      <c r="N59" t="s">
        <v>23</v>
      </c>
      <c r="O59">
        <v>57</v>
      </c>
      <c r="Q59">
        <v>38</v>
      </c>
      <c r="AA59" t="s">
        <v>181</v>
      </c>
    </row>
    <row r="60" spans="1:27" x14ac:dyDescent="0.35">
      <c r="A60" t="s">
        <v>120</v>
      </c>
      <c r="B60" s="2">
        <v>45973</v>
      </c>
      <c r="C60" t="s">
        <v>171</v>
      </c>
      <c r="E60" t="s">
        <v>172</v>
      </c>
      <c r="F60">
        <v>70</v>
      </c>
      <c r="G60" s="3" t="s">
        <v>174</v>
      </c>
      <c r="H60" t="s">
        <v>16</v>
      </c>
      <c r="I60" t="s">
        <v>177</v>
      </c>
      <c r="J60">
        <v>8</v>
      </c>
      <c r="M60" t="s">
        <v>180</v>
      </c>
      <c r="N60" t="s">
        <v>24</v>
      </c>
      <c r="O60">
        <v>58</v>
      </c>
      <c r="Q60">
        <v>39</v>
      </c>
      <c r="AA60" t="s">
        <v>181</v>
      </c>
    </row>
    <row r="61" spans="1:27" x14ac:dyDescent="0.35">
      <c r="A61" t="s">
        <v>121</v>
      </c>
      <c r="B61" s="2">
        <v>45973</v>
      </c>
      <c r="C61" t="s">
        <v>171</v>
      </c>
      <c r="E61" t="s">
        <v>172</v>
      </c>
      <c r="F61">
        <v>57</v>
      </c>
      <c r="G61" s="3" t="s">
        <v>174</v>
      </c>
      <c r="H61" t="s">
        <v>16</v>
      </c>
      <c r="I61" t="s">
        <v>177</v>
      </c>
      <c r="J61">
        <v>9</v>
      </c>
      <c r="M61" t="s">
        <v>180</v>
      </c>
      <c r="N61" t="s">
        <v>25</v>
      </c>
      <c r="O61">
        <v>59</v>
      </c>
      <c r="Q61">
        <v>40</v>
      </c>
      <c r="AA61" t="s">
        <v>181</v>
      </c>
    </row>
    <row r="62" spans="1:27" x14ac:dyDescent="0.35">
      <c r="A62" t="s">
        <v>122</v>
      </c>
      <c r="B62" s="2">
        <v>45973</v>
      </c>
      <c r="C62" t="s">
        <v>171</v>
      </c>
      <c r="E62" t="s">
        <v>172</v>
      </c>
      <c r="F62">
        <v>66</v>
      </c>
      <c r="G62" s="3" t="s">
        <v>173</v>
      </c>
      <c r="H62" t="s">
        <v>49</v>
      </c>
      <c r="I62" t="s">
        <v>177</v>
      </c>
      <c r="J62">
        <v>10</v>
      </c>
      <c r="M62" t="s">
        <v>180</v>
      </c>
      <c r="N62" t="s">
        <v>26</v>
      </c>
      <c r="O62">
        <v>60</v>
      </c>
      <c r="Q62">
        <v>41</v>
      </c>
      <c r="AA62" t="s">
        <v>181</v>
      </c>
    </row>
    <row r="63" spans="1:27" x14ac:dyDescent="0.35">
      <c r="A63" t="s">
        <v>123</v>
      </c>
      <c r="B63" s="2">
        <v>45973</v>
      </c>
      <c r="C63" t="s">
        <v>171</v>
      </c>
      <c r="E63" t="s">
        <v>172</v>
      </c>
      <c r="F63">
        <v>74</v>
      </c>
      <c r="G63" s="3" t="s">
        <v>174</v>
      </c>
      <c r="H63" t="s">
        <v>16</v>
      </c>
      <c r="I63" t="s">
        <v>178</v>
      </c>
      <c r="J63">
        <v>1</v>
      </c>
      <c r="M63" t="s">
        <v>180</v>
      </c>
      <c r="N63" t="s">
        <v>17</v>
      </c>
      <c r="O63">
        <v>61</v>
      </c>
      <c r="Q63">
        <v>61</v>
      </c>
      <c r="AA63" t="s">
        <v>191</v>
      </c>
    </row>
    <row r="64" spans="1:27" x14ac:dyDescent="0.35">
      <c r="A64" t="s">
        <v>124</v>
      </c>
      <c r="B64" s="2">
        <v>45973</v>
      </c>
      <c r="C64" t="s">
        <v>171</v>
      </c>
      <c r="E64" t="s">
        <v>172</v>
      </c>
      <c r="F64">
        <v>80</v>
      </c>
      <c r="G64" s="3" t="s">
        <v>174</v>
      </c>
      <c r="H64" t="s">
        <v>16</v>
      </c>
      <c r="I64" t="s">
        <v>178</v>
      </c>
      <c r="J64">
        <v>2</v>
      </c>
      <c r="M64" t="s">
        <v>180</v>
      </c>
      <c r="N64" t="s">
        <v>18</v>
      </c>
      <c r="O64">
        <v>62</v>
      </c>
      <c r="Q64">
        <v>62</v>
      </c>
      <c r="AA64" t="s">
        <v>191</v>
      </c>
    </row>
    <row r="65" spans="1:27" x14ac:dyDescent="0.35">
      <c r="A65" t="s">
        <v>125</v>
      </c>
      <c r="B65" s="2">
        <v>45973</v>
      </c>
      <c r="C65" t="s">
        <v>171</v>
      </c>
      <c r="E65" t="s">
        <v>172</v>
      </c>
      <c r="F65">
        <v>69</v>
      </c>
      <c r="G65" s="3" t="s">
        <v>174</v>
      </c>
      <c r="H65" t="s">
        <v>16</v>
      </c>
      <c r="I65" t="s">
        <v>178</v>
      </c>
      <c r="J65">
        <v>3</v>
      </c>
      <c r="M65" t="s">
        <v>180</v>
      </c>
      <c r="N65" t="s">
        <v>19</v>
      </c>
      <c r="O65">
        <v>63</v>
      </c>
      <c r="Q65">
        <v>63</v>
      </c>
      <c r="AA65" t="s">
        <v>191</v>
      </c>
    </row>
    <row r="66" spans="1:27" x14ac:dyDescent="0.35">
      <c r="A66" t="s">
        <v>126</v>
      </c>
      <c r="B66" s="2">
        <v>45973</v>
      </c>
      <c r="C66" t="s">
        <v>171</v>
      </c>
      <c r="E66" t="s">
        <v>172</v>
      </c>
      <c r="F66">
        <v>70</v>
      </c>
      <c r="G66" s="3" t="s">
        <v>174</v>
      </c>
      <c r="H66" t="s">
        <v>16</v>
      </c>
      <c r="I66" t="s">
        <v>178</v>
      </c>
      <c r="J66">
        <v>4</v>
      </c>
      <c r="M66" t="s">
        <v>180</v>
      </c>
      <c r="N66" t="s">
        <v>20</v>
      </c>
      <c r="O66">
        <v>64</v>
      </c>
      <c r="Q66">
        <v>64</v>
      </c>
      <c r="AA66" t="s">
        <v>191</v>
      </c>
    </row>
    <row r="67" spans="1:27" x14ac:dyDescent="0.35">
      <c r="A67" t="s">
        <v>127</v>
      </c>
      <c r="B67" s="2">
        <v>45973</v>
      </c>
      <c r="C67" t="s">
        <v>171</v>
      </c>
      <c r="E67" t="s">
        <v>172</v>
      </c>
      <c r="F67">
        <v>74</v>
      </c>
      <c r="G67" s="3" t="s">
        <v>174</v>
      </c>
      <c r="H67" t="s">
        <v>16</v>
      </c>
      <c r="I67" t="s">
        <v>178</v>
      </c>
      <c r="J67">
        <v>5</v>
      </c>
      <c r="M67" t="s">
        <v>180</v>
      </c>
      <c r="N67" t="s">
        <v>21</v>
      </c>
      <c r="O67">
        <v>65</v>
      </c>
      <c r="Q67">
        <v>65</v>
      </c>
      <c r="AA67" t="s">
        <v>191</v>
      </c>
    </row>
    <row r="68" spans="1:27" x14ac:dyDescent="0.35">
      <c r="A68" t="s">
        <v>128</v>
      </c>
      <c r="B68" s="2">
        <v>45973</v>
      </c>
      <c r="C68" t="s">
        <v>171</v>
      </c>
      <c r="E68" t="s">
        <v>172</v>
      </c>
      <c r="F68">
        <v>67</v>
      </c>
      <c r="G68" s="3" t="s">
        <v>174</v>
      </c>
      <c r="H68" t="s">
        <v>16</v>
      </c>
      <c r="I68" t="s">
        <v>178</v>
      </c>
      <c r="J68">
        <v>6</v>
      </c>
      <c r="M68" t="s">
        <v>180</v>
      </c>
      <c r="N68" t="s">
        <v>22</v>
      </c>
      <c r="O68">
        <v>66</v>
      </c>
      <c r="Q68">
        <v>66</v>
      </c>
      <c r="AA68" t="s">
        <v>191</v>
      </c>
    </row>
    <row r="69" spans="1:27" x14ac:dyDescent="0.35">
      <c r="A69" t="s">
        <v>129</v>
      </c>
      <c r="B69" s="2">
        <v>45973</v>
      </c>
      <c r="C69" t="s">
        <v>171</v>
      </c>
      <c r="E69" t="s">
        <v>172</v>
      </c>
      <c r="F69">
        <v>72</v>
      </c>
      <c r="G69" s="3" t="s">
        <v>174</v>
      </c>
      <c r="H69" t="s">
        <v>16</v>
      </c>
      <c r="I69" t="s">
        <v>178</v>
      </c>
      <c r="J69">
        <v>7</v>
      </c>
      <c r="M69" t="s">
        <v>180</v>
      </c>
      <c r="N69" t="s">
        <v>23</v>
      </c>
      <c r="O69">
        <v>67</v>
      </c>
      <c r="Q69">
        <v>67</v>
      </c>
      <c r="AA69" t="s">
        <v>191</v>
      </c>
    </row>
    <row r="70" spans="1:27" x14ac:dyDescent="0.35">
      <c r="A70" t="s">
        <v>130</v>
      </c>
      <c r="B70" s="2">
        <v>45973</v>
      </c>
      <c r="C70" t="s">
        <v>171</v>
      </c>
      <c r="E70" t="s">
        <v>172</v>
      </c>
      <c r="F70">
        <v>64</v>
      </c>
      <c r="G70" s="3" t="s">
        <v>174</v>
      </c>
      <c r="H70" t="s">
        <v>16</v>
      </c>
      <c r="I70" t="s">
        <v>178</v>
      </c>
      <c r="J70">
        <v>8</v>
      </c>
      <c r="M70" t="s">
        <v>180</v>
      </c>
      <c r="N70" t="s">
        <v>24</v>
      </c>
      <c r="O70">
        <v>68</v>
      </c>
      <c r="Q70">
        <v>68</v>
      </c>
      <c r="AA70" t="s">
        <v>191</v>
      </c>
    </row>
    <row r="71" spans="1:27" x14ac:dyDescent="0.35">
      <c r="A71" t="s">
        <v>131</v>
      </c>
      <c r="B71" s="2">
        <v>45973</v>
      </c>
      <c r="C71" t="s">
        <v>171</v>
      </c>
      <c r="E71" t="s">
        <v>172</v>
      </c>
      <c r="F71">
        <v>69</v>
      </c>
      <c r="G71" s="3" t="s">
        <v>174</v>
      </c>
      <c r="H71" t="s">
        <v>16</v>
      </c>
      <c r="I71" t="s">
        <v>178</v>
      </c>
      <c r="J71">
        <v>9</v>
      </c>
      <c r="M71" t="s">
        <v>180</v>
      </c>
      <c r="N71" t="s">
        <v>25</v>
      </c>
      <c r="O71">
        <v>69</v>
      </c>
      <c r="Q71">
        <v>69</v>
      </c>
      <c r="AA71" t="s">
        <v>191</v>
      </c>
    </row>
    <row r="72" spans="1:27" x14ac:dyDescent="0.35">
      <c r="A72" t="s">
        <v>132</v>
      </c>
      <c r="B72" s="2">
        <v>45973</v>
      </c>
      <c r="C72" t="s">
        <v>171</v>
      </c>
      <c r="E72" t="s">
        <v>172</v>
      </c>
      <c r="F72">
        <v>71</v>
      </c>
      <c r="G72" s="3" t="s">
        <v>174</v>
      </c>
      <c r="H72" t="s">
        <v>16</v>
      </c>
      <c r="I72" t="s">
        <v>178</v>
      </c>
      <c r="J72">
        <v>10</v>
      </c>
      <c r="M72" t="s">
        <v>180</v>
      </c>
      <c r="N72" t="s">
        <v>26</v>
      </c>
      <c r="O72">
        <v>70</v>
      </c>
      <c r="Q72">
        <v>70</v>
      </c>
      <c r="AA72" t="s">
        <v>191</v>
      </c>
    </row>
    <row r="73" spans="1:27" x14ac:dyDescent="0.35">
      <c r="A73" t="s">
        <v>133</v>
      </c>
      <c r="B73" s="2">
        <v>45973</v>
      </c>
      <c r="C73" t="s">
        <v>171</v>
      </c>
      <c r="E73" t="s">
        <v>172</v>
      </c>
      <c r="F73">
        <v>63</v>
      </c>
      <c r="G73" s="3" t="s">
        <v>174</v>
      </c>
      <c r="H73" t="s">
        <v>16</v>
      </c>
      <c r="I73" t="s">
        <v>178</v>
      </c>
      <c r="J73">
        <v>11</v>
      </c>
      <c r="M73" t="s">
        <v>180</v>
      </c>
      <c r="N73" t="s">
        <v>27</v>
      </c>
      <c r="O73">
        <v>71</v>
      </c>
      <c r="Q73">
        <v>71</v>
      </c>
      <c r="AA73" t="s">
        <v>191</v>
      </c>
    </row>
    <row r="74" spans="1:27" x14ac:dyDescent="0.35">
      <c r="A74" t="s">
        <v>134</v>
      </c>
      <c r="B74" s="2">
        <v>45973</v>
      </c>
      <c r="C74" t="s">
        <v>171</v>
      </c>
      <c r="E74" t="s">
        <v>172</v>
      </c>
      <c r="F74">
        <v>69</v>
      </c>
      <c r="G74" s="3" t="s">
        <v>174</v>
      </c>
      <c r="H74" t="s">
        <v>16</v>
      </c>
      <c r="I74" t="s">
        <v>178</v>
      </c>
      <c r="J74">
        <v>12</v>
      </c>
      <c r="M74" t="s">
        <v>180</v>
      </c>
      <c r="N74" t="s">
        <v>28</v>
      </c>
      <c r="O74">
        <v>72</v>
      </c>
      <c r="Q74">
        <v>72</v>
      </c>
      <c r="AA74" t="s">
        <v>191</v>
      </c>
    </row>
    <row r="75" spans="1:27" x14ac:dyDescent="0.35">
      <c r="A75" t="s">
        <v>135</v>
      </c>
      <c r="B75" s="2">
        <v>45973</v>
      </c>
      <c r="C75" t="s">
        <v>171</v>
      </c>
      <c r="E75" t="s">
        <v>172</v>
      </c>
      <c r="F75">
        <v>72</v>
      </c>
      <c r="G75" s="3" t="s">
        <v>174</v>
      </c>
      <c r="H75" t="s">
        <v>16</v>
      </c>
      <c r="I75" t="s">
        <v>178</v>
      </c>
      <c r="J75">
        <v>13</v>
      </c>
      <c r="M75" t="s">
        <v>180</v>
      </c>
      <c r="N75" t="s">
        <v>29</v>
      </c>
      <c r="O75">
        <v>73</v>
      </c>
      <c r="Q75">
        <v>73</v>
      </c>
      <c r="AA75" t="s">
        <v>191</v>
      </c>
    </row>
    <row r="76" spans="1:27" x14ac:dyDescent="0.35">
      <c r="A76" t="s">
        <v>136</v>
      </c>
      <c r="B76" s="2">
        <v>45978</v>
      </c>
      <c r="C76" t="s">
        <v>171</v>
      </c>
      <c r="E76" t="s">
        <v>172</v>
      </c>
      <c r="F76">
        <v>69</v>
      </c>
      <c r="G76" s="3" t="s">
        <v>174</v>
      </c>
      <c r="H76" t="s">
        <v>16</v>
      </c>
      <c r="I76" t="s">
        <v>183</v>
      </c>
      <c r="J76">
        <v>1</v>
      </c>
      <c r="M76" t="s">
        <v>180</v>
      </c>
      <c r="N76" t="s">
        <v>17</v>
      </c>
      <c r="O76">
        <v>74</v>
      </c>
      <c r="Q76">
        <v>74</v>
      </c>
      <c r="AA76" t="s">
        <v>191</v>
      </c>
    </row>
    <row r="77" spans="1:27" x14ac:dyDescent="0.35">
      <c r="A77" t="s">
        <v>137</v>
      </c>
      <c r="B77" s="2">
        <v>45978</v>
      </c>
      <c r="C77" t="s">
        <v>171</v>
      </c>
      <c r="E77" t="s">
        <v>172</v>
      </c>
      <c r="F77">
        <v>72</v>
      </c>
      <c r="G77" s="3" t="s">
        <v>174</v>
      </c>
      <c r="H77" t="s">
        <v>16</v>
      </c>
      <c r="I77" t="s">
        <v>183</v>
      </c>
      <c r="J77">
        <v>2</v>
      </c>
      <c r="M77" t="s">
        <v>180</v>
      </c>
      <c r="N77" t="s">
        <v>18</v>
      </c>
      <c r="O77">
        <v>75</v>
      </c>
      <c r="Q77">
        <v>75</v>
      </c>
      <c r="AA77" t="s">
        <v>191</v>
      </c>
    </row>
    <row r="78" spans="1:27" x14ac:dyDescent="0.35">
      <c r="A78" t="s">
        <v>138</v>
      </c>
      <c r="B78" s="2">
        <v>45978</v>
      </c>
      <c r="C78" t="s">
        <v>171</v>
      </c>
      <c r="E78" t="s">
        <v>172</v>
      </c>
      <c r="F78">
        <v>67</v>
      </c>
      <c r="G78" s="3" t="s">
        <v>174</v>
      </c>
      <c r="H78" t="s">
        <v>16</v>
      </c>
      <c r="I78" t="s">
        <v>183</v>
      </c>
      <c r="J78">
        <v>3</v>
      </c>
      <c r="M78" t="s">
        <v>180</v>
      </c>
      <c r="N78" t="s">
        <v>19</v>
      </c>
      <c r="O78">
        <v>76</v>
      </c>
      <c r="Q78" t="s">
        <v>192</v>
      </c>
      <c r="AA78" t="s">
        <v>191</v>
      </c>
    </row>
    <row r="79" spans="1:27" x14ac:dyDescent="0.35">
      <c r="A79" t="s">
        <v>139</v>
      </c>
      <c r="B79" s="2">
        <v>45978</v>
      </c>
      <c r="C79" t="s">
        <v>171</v>
      </c>
      <c r="E79" t="s">
        <v>172</v>
      </c>
      <c r="F79">
        <v>69</v>
      </c>
      <c r="G79" s="3" t="s">
        <v>174</v>
      </c>
      <c r="H79" t="s">
        <v>16</v>
      </c>
      <c r="I79" t="s">
        <v>183</v>
      </c>
      <c r="J79">
        <v>4</v>
      </c>
      <c r="M79" t="s">
        <v>180</v>
      </c>
      <c r="N79" t="s">
        <v>20</v>
      </c>
      <c r="O79">
        <v>77</v>
      </c>
      <c r="Q79">
        <v>76</v>
      </c>
      <c r="AA79" t="s">
        <v>191</v>
      </c>
    </row>
    <row r="80" spans="1:27" x14ac:dyDescent="0.35">
      <c r="A80" t="s">
        <v>140</v>
      </c>
      <c r="B80" s="2">
        <v>45978</v>
      </c>
      <c r="C80" t="s">
        <v>171</v>
      </c>
      <c r="E80" t="s">
        <v>172</v>
      </c>
      <c r="F80">
        <v>68</v>
      </c>
      <c r="G80" s="3" t="s">
        <v>174</v>
      </c>
      <c r="H80" t="s">
        <v>16</v>
      </c>
      <c r="I80" t="s">
        <v>183</v>
      </c>
      <c r="J80">
        <v>5</v>
      </c>
      <c r="M80" t="s">
        <v>180</v>
      </c>
      <c r="N80" t="s">
        <v>21</v>
      </c>
      <c r="O80">
        <v>78</v>
      </c>
      <c r="Q80">
        <v>77</v>
      </c>
      <c r="AA80" t="s">
        <v>191</v>
      </c>
    </row>
    <row r="81" spans="1:27" x14ac:dyDescent="0.35">
      <c r="A81" t="s">
        <v>141</v>
      </c>
      <c r="B81" s="2">
        <v>45978</v>
      </c>
      <c r="C81" t="s">
        <v>171</v>
      </c>
      <c r="E81" t="s">
        <v>172</v>
      </c>
      <c r="F81">
        <v>70</v>
      </c>
      <c r="G81" s="3" t="s">
        <v>174</v>
      </c>
      <c r="H81" t="s">
        <v>16</v>
      </c>
      <c r="I81" t="s">
        <v>183</v>
      </c>
      <c r="J81">
        <v>6</v>
      </c>
      <c r="M81" t="s">
        <v>180</v>
      </c>
      <c r="N81" t="s">
        <v>22</v>
      </c>
      <c r="O81">
        <v>79</v>
      </c>
      <c r="Q81">
        <v>78</v>
      </c>
      <c r="AA81" t="s">
        <v>191</v>
      </c>
    </row>
    <row r="82" spans="1:27" x14ac:dyDescent="0.35">
      <c r="A82" t="s">
        <v>142</v>
      </c>
      <c r="B82" s="2">
        <v>45978</v>
      </c>
      <c r="C82" t="s">
        <v>171</v>
      </c>
      <c r="E82" t="s">
        <v>172</v>
      </c>
      <c r="F82">
        <v>73</v>
      </c>
      <c r="G82" s="3" t="s">
        <v>174</v>
      </c>
      <c r="H82" t="s">
        <v>40</v>
      </c>
      <c r="I82" t="s">
        <v>183</v>
      </c>
      <c r="J82">
        <v>20</v>
      </c>
      <c r="M82" t="s">
        <v>180</v>
      </c>
      <c r="N82" s="7" t="s">
        <v>44</v>
      </c>
      <c r="O82" s="7">
        <v>100</v>
      </c>
      <c r="P82" s="7"/>
      <c r="Q82" s="7">
        <v>99</v>
      </c>
      <c r="AA82" t="s">
        <v>191</v>
      </c>
    </row>
    <row r="83" spans="1:27" x14ac:dyDescent="0.35">
      <c r="A83" t="s">
        <v>143</v>
      </c>
      <c r="B83" s="2">
        <v>45978</v>
      </c>
      <c r="C83" t="s">
        <v>171</v>
      </c>
      <c r="E83" t="s">
        <v>172</v>
      </c>
      <c r="F83">
        <v>70</v>
      </c>
      <c r="G83" s="3" t="s">
        <v>174</v>
      </c>
      <c r="H83" t="s">
        <v>16</v>
      </c>
      <c r="I83" t="s">
        <v>184</v>
      </c>
      <c r="J83">
        <v>1</v>
      </c>
      <c r="M83" t="s">
        <v>180</v>
      </c>
      <c r="N83" t="s">
        <v>23</v>
      </c>
      <c r="O83">
        <v>80</v>
      </c>
      <c r="Q83">
        <v>79</v>
      </c>
      <c r="AA83" t="s">
        <v>191</v>
      </c>
    </row>
    <row r="84" spans="1:27" x14ac:dyDescent="0.35">
      <c r="A84" t="s">
        <v>144</v>
      </c>
      <c r="B84" s="2">
        <v>45978</v>
      </c>
      <c r="C84" t="s">
        <v>171</v>
      </c>
      <c r="E84" t="s">
        <v>172</v>
      </c>
      <c r="F84">
        <v>69</v>
      </c>
      <c r="G84" s="3" t="s">
        <v>174</v>
      </c>
      <c r="H84" t="s">
        <v>16</v>
      </c>
      <c r="I84" t="s">
        <v>184</v>
      </c>
      <c r="J84">
        <v>2</v>
      </c>
      <c r="M84" t="s">
        <v>180</v>
      </c>
      <c r="N84" t="s">
        <v>24</v>
      </c>
      <c r="O84">
        <v>81</v>
      </c>
      <c r="Q84">
        <v>80</v>
      </c>
      <c r="AA84" t="s">
        <v>191</v>
      </c>
    </row>
    <row r="85" spans="1:27" x14ac:dyDescent="0.35">
      <c r="A85" t="s">
        <v>145</v>
      </c>
      <c r="B85" s="2">
        <v>45978</v>
      </c>
      <c r="C85" t="s">
        <v>171</v>
      </c>
      <c r="E85" t="s">
        <v>172</v>
      </c>
      <c r="F85">
        <v>75</v>
      </c>
      <c r="G85" s="3" t="s">
        <v>174</v>
      </c>
      <c r="H85" t="s">
        <v>16</v>
      </c>
      <c r="I85" t="s">
        <v>184</v>
      </c>
      <c r="J85">
        <v>3</v>
      </c>
      <c r="M85" t="s">
        <v>180</v>
      </c>
      <c r="N85" t="s">
        <v>25</v>
      </c>
      <c r="O85">
        <v>82</v>
      </c>
      <c r="Q85">
        <v>81</v>
      </c>
      <c r="AA85" t="s">
        <v>191</v>
      </c>
    </row>
    <row r="86" spans="1:27" x14ac:dyDescent="0.35">
      <c r="A86" t="s">
        <v>146</v>
      </c>
      <c r="B86" s="2">
        <v>45978</v>
      </c>
      <c r="C86" t="s">
        <v>171</v>
      </c>
      <c r="E86" t="s">
        <v>172</v>
      </c>
      <c r="F86">
        <v>64</v>
      </c>
      <c r="G86" s="3" t="s">
        <v>174</v>
      </c>
      <c r="H86" t="s">
        <v>16</v>
      </c>
      <c r="I86" t="s">
        <v>184</v>
      </c>
      <c r="J86">
        <v>4</v>
      </c>
      <c r="M86" t="s">
        <v>180</v>
      </c>
      <c r="N86" t="s">
        <v>26</v>
      </c>
      <c r="O86">
        <v>83</v>
      </c>
      <c r="Q86">
        <v>82</v>
      </c>
      <c r="AA86" t="s">
        <v>191</v>
      </c>
    </row>
    <row r="87" spans="1:27" x14ac:dyDescent="0.35">
      <c r="A87" t="s">
        <v>147</v>
      </c>
      <c r="B87" s="2">
        <v>45978</v>
      </c>
      <c r="C87" t="s">
        <v>171</v>
      </c>
      <c r="E87" t="s">
        <v>172</v>
      </c>
      <c r="F87">
        <v>72</v>
      </c>
      <c r="G87" s="3" t="s">
        <v>174</v>
      </c>
      <c r="H87" t="s">
        <v>16</v>
      </c>
      <c r="I87" t="s">
        <v>184</v>
      </c>
      <c r="J87">
        <v>5</v>
      </c>
      <c r="M87" t="s">
        <v>180</v>
      </c>
      <c r="N87" t="s">
        <v>27</v>
      </c>
      <c r="O87">
        <v>84</v>
      </c>
      <c r="Q87">
        <v>83</v>
      </c>
      <c r="AA87" t="s">
        <v>191</v>
      </c>
    </row>
    <row r="88" spans="1:27" x14ac:dyDescent="0.35">
      <c r="A88" t="s">
        <v>148</v>
      </c>
      <c r="B88" s="2">
        <v>45978</v>
      </c>
      <c r="C88" t="s">
        <v>171</v>
      </c>
      <c r="E88" t="s">
        <v>172</v>
      </c>
      <c r="F88">
        <v>65</v>
      </c>
      <c r="G88" s="3" t="s">
        <v>174</v>
      </c>
      <c r="H88" t="s">
        <v>16</v>
      </c>
      <c r="I88" t="s">
        <v>184</v>
      </c>
      <c r="J88">
        <v>6</v>
      </c>
      <c r="M88" t="s">
        <v>180</v>
      </c>
      <c r="N88" t="s">
        <v>28</v>
      </c>
      <c r="O88">
        <v>85</v>
      </c>
      <c r="Q88">
        <v>84</v>
      </c>
      <c r="AA88" t="s">
        <v>191</v>
      </c>
    </row>
    <row r="89" spans="1:27" x14ac:dyDescent="0.35">
      <c r="A89" t="s">
        <v>149</v>
      </c>
      <c r="B89" s="2">
        <v>45978</v>
      </c>
      <c r="C89" t="s">
        <v>171</v>
      </c>
      <c r="E89" t="s">
        <v>172</v>
      </c>
      <c r="F89">
        <v>69</v>
      </c>
      <c r="G89" s="3" t="s">
        <v>174</v>
      </c>
      <c r="H89" t="s">
        <v>16</v>
      </c>
      <c r="I89" t="s">
        <v>184</v>
      </c>
      <c r="J89">
        <v>7</v>
      </c>
      <c r="M89" t="s">
        <v>180</v>
      </c>
      <c r="N89" t="s">
        <v>29</v>
      </c>
      <c r="O89">
        <v>86</v>
      </c>
      <c r="Q89">
        <v>85</v>
      </c>
      <c r="AA89" t="s">
        <v>191</v>
      </c>
    </row>
    <row r="90" spans="1:27" x14ac:dyDescent="0.35">
      <c r="A90" t="s">
        <v>150</v>
      </c>
      <c r="B90" s="2">
        <v>45978</v>
      </c>
      <c r="C90" t="s">
        <v>171</v>
      </c>
      <c r="E90" t="s">
        <v>172</v>
      </c>
      <c r="F90">
        <v>75</v>
      </c>
      <c r="G90" s="3" t="s">
        <v>174</v>
      </c>
      <c r="H90" t="s">
        <v>16</v>
      </c>
      <c r="I90" t="s">
        <v>184</v>
      </c>
      <c r="J90">
        <v>8</v>
      </c>
      <c r="M90" t="s">
        <v>180</v>
      </c>
      <c r="N90" t="s">
        <v>30</v>
      </c>
      <c r="O90">
        <v>87</v>
      </c>
      <c r="Q90">
        <v>86</v>
      </c>
      <c r="AA90" t="s">
        <v>191</v>
      </c>
    </row>
    <row r="91" spans="1:27" x14ac:dyDescent="0.35">
      <c r="A91" t="s">
        <v>151</v>
      </c>
      <c r="B91" s="2">
        <v>45978</v>
      </c>
      <c r="C91" t="s">
        <v>171</v>
      </c>
      <c r="E91" t="s">
        <v>172</v>
      </c>
      <c r="F91">
        <v>63</v>
      </c>
      <c r="G91" s="3" t="s">
        <v>174</v>
      </c>
      <c r="H91" t="s">
        <v>16</v>
      </c>
      <c r="I91" t="s">
        <v>184</v>
      </c>
      <c r="J91">
        <v>9</v>
      </c>
      <c r="M91" t="s">
        <v>180</v>
      </c>
      <c r="N91" t="s">
        <v>31</v>
      </c>
      <c r="O91">
        <v>88</v>
      </c>
      <c r="Q91">
        <v>87</v>
      </c>
      <c r="AA91" t="s">
        <v>191</v>
      </c>
    </row>
    <row r="92" spans="1:27" x14ac:dyDescent="0.35">
      <c r="A92" t="s">
        <v>152</v>
      </c>
      <c r="B92" s="2">
        <v>45978</v>
      </c>
      <c r="C92" t="s">
        <v>171</v>
      </c>
      <c r="E92" t="s">
        <v>172</v>
      </c>
      <c r="F92">
        <v>73</v>
      </c>
      <c r="G92" s="3" t="s">
        <v>174</v>
      </c>
      <c r="H92" t="s">
        <v>16</v>
      </c>
      <c r="I92" t="s">
        <v>184</v>
      </c>
      <c r="J92">
        <v>10</v>
      </c>
      <c r="M92" t="s">
        <v>180</v>
      </c>
      <c r="N92" t="s">
        <v>32</v>
      </c>
      <c r="O92">
        <v>89</v>
      </c>
      <c r="Q92">
        <v>88</v>
      </c>
      <c r="AA92" t="s">
        <v>191</v>
      </c>
    </row>
    <row r="93" spans="1:27" x14ac:dyDescent="0.35">
      <c r="A93" t="s">
        <v>153</v>
      </c>
      <c r="B93" s="2">
        <v>45978</v>
      </c>
      <c r="C93" t="s">
        <v>171</v>
      </c>
      <c r="E93" t="s">
        <v>172</v>
      </c>
      <c r="F93">
        <v>71</v>
      </c>
      <c r="G93" s="3" t="s">
        <v>174</v>
      </c>
      <c r="H93" t="s">
        <v>16</v>
      </c>
      <c r="I93" t="s">
        <v>184</v>
      </c>
      <c r="J93">
        <v>11</v>
      </c>
      <c r="M93" t="s">
        <v>180</v>
      </c>
      <c r="N93" t="s">
        <v>33</v>
      </c>
      <c r="O93">
        <v>90</v>
      </c>
      <c r="Q93">
        <v>89</v>
      </c>
      <c r="AA93" t="s">
        <v>191</v>
      </c>
    </row>
    <row r="94" spans="1:27" x14ac:dyDescent="0.35">
      <c r="A94" t="s">
        <v>154</v>
      </c>
      <c r="B94" s="2">
        <v>45978</v>
      </c>
      <c r="C94" t="s">
        <v>171</v>
      </c>
      <c r="E94" t="s">
        <v>172</v>
      </c>
      <c r="F94">
        <v>70</v>
      </c>
      <c r="G94" s="3" t="s">
        <v>174</v>
      </c>
      <c r="H94" t="s">
        <v>16</v>
      </c>
      <c r="I94" t="s">
        <v>184</v>
      </c>
      <c r="J94">
        <v>12</v>
      </c>
      <c r="M94" t="s">
        <v>180</v>
      </c>
      <c r="N94" t="s">
        <v>34</v>
      </c>
      <c r="O94">
        <v>91</v>
      </c>
      <c r="Q94">
        <v>90</v>
      </c>
      <c r="AA94" t="s">
        <v>191</v>
      </c>
    </row>
    <row r="95" spans="1:27" x14ac:dyDescent="0.35">
      <c r="A95" t="s">
        <v>155</v>
      </c>
      <c r="B95" s="2">
        <v>45978</v>
      </c>
      <c r="C95" t="s">
        <v>171</v>
      </c>
      <c r="E95" t="s">
        <v>172</v>
      </c>
      <c r="F95">
        <v>78</v>
      </c>
      <c r="G95" s="3" t="s">
        <v>174</v>
      </c>
      <c r="H95" t="s">
        <v>16</v>
      </c>
      <c r="I95" t="s">
        <v>184</v>
      </c>
      <c r="J95">
        <v>13</v>
      </c>
      <c r="M95" t="s">
        <v>180</v>
      </c>
      <c r="N95" t="s">
        <v>35</v>
      </c>
      <c r="O95">
        <v>92</v>
      </c>
      <c r="Q95">
        <v>91</v>
      </c>
      <c r="AA95" t="s">
        <v>191</v>
      </c>
    </row>
    <row r="96" spans="1:27" x14ac:dyDescent="0.35">
      <c r="A96" t="s">
        <v>156</v>
      </c>
      <c r="B96" s="2">
        <v>45978</v>
      </c>
      <c r="C96" t="s">
        <v>171</v>
      </c>
      <c r="E96" t="s">
        <v>172</v>
      </c>
      <c r="F96">
        <v>74</v>
      </c>
      <c r="G96" s="3" t="s">
        <v>174</v>
      </c>
      <c r="H96" t="s">
        <v>16</v>
      </c>
      <c r="I96" t="s">
        <v>184</v>
      </c>
      <c r="J96">
        <v>14</v>
      </c>
      <c r="M96" t="s">
        <v>180</v>
      </c>
      <c r="N96" t="s">
        <v>36</v>
      </c>
      <c r="O96">
        <v>93</v>
      </c>
      <c r="Q96">
        <v>92</v>
      </c>
      <c r="AA96" t="s">
        <v>191</v>
      </c>
    </row>
    <row r="97" spans="1:27" x14ac:dyDescent="0.35">
      <c r="A97" t="s">
        <v>157</v>
      </c>
      <c r="B97" s="2">
        <v>45978</v>
      </c>
      <c r="C97" t="s">
        <v>171</v>
      </c>
      <c r="E97" t="s">
        <v>172</v>
      </c>
      <c r="F97">
        <v>75</v>
      </c>
      <c r="G97" s="3" t="s">
        <v>174</v>
      </c>
      <c r="H97" t="s">
        <v>16</v>
      </c>
      <c r="I97" t="s">
        <v>184</v>
      </c>
      <c r="J97">
        <v>15</v>
      </c>
      <c r="M97" t="s">
        <v>180</v>
      </c>
      <c r="N97" t="s">
        <v>37</v>
      </c>
      <c r="O97">
        <v>94</v>
      </c>
      <c r="Q97">
        <v>93</v>
      </c>
      <c r="AA97" t="s">
        <v>191</v>
      </c>
    </row>
    <row r="98" spans="1:27" x14ac:dyDescent="0.35">
      <c r="A98" t="s">
        <v>158</v>
      </c>
      <c r="B98" s="2">
        <v>45978</v>
      </c>
      <c r="C98" t="s">
        <v>171</v>
      </c>
      <c r="E98" t="s">
        <v>172</v>
      </c>
      <c r="F98">
        <v>67</v>
      </c>
      <c r="G98" s="3" t="s">
        <v>174</v>
      </c>
      <c r="H98" t="s">
        <v>16</v>
      </c>
      <c r="I98" t="s">
        <v>184</v>
      </c>
      <c r="J98">
        <v>16</v>
      </c>
      <c r="M98" t="s">
        <v>180</v>
      </c>
      <c r="N98" t="s">
        <v>38</v>
      </c>
      <c r="O98">
        <v>95</v>
      </c>
      <c r="Q98">
        <v>94</v>
      </c>
      <c r="AA98" t="s">
        <v>191</v>
      </c>
    </row>
    <row r="99" spans="1:27" x14ac:dyDescent="0.35">
      <c r="A99" t="s">
        <v>159</v>
      </c>
      <c r="B99" s="2">
        <v>45978</v>
      </c>
      <c r="C99" t="s">
        <v>171</v>
      </c>
      <c r="E99" t="s">
        <v>172</v>
      </c>
      <c r="F99">
        <v>75</v>
      </c>
      <c r="G99" s="3" t="s">
        <v>174</v>
      </c>
      <c r="H99" t="s">
        <v>16</v>
      </c>
      <c r="I99" t="s">
        <v>184</v>
      </c>
      <c r="J99">
        <v>17</v>
      </c>
      <c r="M99" t="s">
        <v>180</v>
      </c>
      <c r="N99" t="s">
        <v>39</v>
      </c>
      <c r="O99">
        <v>96</v>
      </c>
      <c r="Q99">
        <v>95</v>
      </c>
      <c r="AA99" t="s">
        <v>191</v>
      </c>
    </row>
    <row r="100" spans="1:27" x14ac:dyDescent="0.35">
      <c r="A100" t="s">
        <v>160</v>
      </c>
      <c r="B100" s="2">
        <v>45978</v>
      </c>
      <c r="C100" t="s">
        <v>171</v>
      </c>
      <c r="E100" t="s">
        <v>172</v>
      </c>
      <c r="F100">
        <v>69</v>
      </c>
      <c r="G100" s="3" t="s">
        <v>174</v>
      </c>
      <c r="H100" t="s">
        <v>16</v>
      </c>
      <c r="I100" t="s">
        <v>184</v>
      </c>
      <c r="J100">
        <v>18</v>
      </c>
      <c r="M100" t="s">
        <v>180</v>
      </c>
      <c r="N100" t="s">
        <v>41</v>
      </c>
      <c r="O100">
        <v>97</v>
      </c>
      <c r="Q100">
        <v>96</v>
      </c>
      <c r="AA100" t="s">
        <v>191</v>
      </c>
    </row>
    <row r="101" spans="1:27" x14ac:dyDescent="0.35">
      <c r="A101" t="s">
        <v>161</v>
      </c>
      <c r="B101" s="2">
        <v>45978</v>
      </c>
      <c r="C101" t="s">
        <v>171</v>
      </c>
      <c r="E101" t="s">
        <v>172</v>
      </c>
      <c r="F101">
        <v>79</v>
      </c>
      <c r="G101" s="3" t="s">
        <v>174</v>
      </c>
      <c r="H101" t="s">
        <v>16</v>
      </c>
      <c r="I101" t="s">
        <v>184</v>
      </c>
      <c r="J101">
        <v>19</v>
      </c>
      <c r="M101" t="s">
        <v>180</v>
      </c>
      <c r="N101" t="s">
        <v>42</v>
      </c>
      <c r="O101">
        <v>98</v>
      </c>
      <c r="Q101">
        <v>97</v>
      </c>
      <c r="AA101" t="s">
        <v>191</v>
      </c>
    </row>
    <row r="102" spans="1:27" x14ac:dyDescent="0.35">
      <c r="A102" t="s">
        <v>162</v>
      </c>
      <c r="B102" s="2">
        <v>45978</v>
      </c>
      <c r="C102" t="s">
        <v>171</v>
      </c>
      <c r="E102" t="s">
        <v>172</v>
      </c>
      <c r="F102">
        <v>81</v>
      </c>
      <c r="G102" s="3" t="s">
        <v>174</v>
      </c>
      <c r="H102" t="s">
        <v>40</v>
      </c>
      <c r="I102" t="s">
        <v>184</v>
      </c>
      <c r="J102">
        <v>20</v>
      </c>
      <c r="M102" t="s">
        <v>180</v>
      </c>
      <c r="N102" t="s">
        <v>43</v>
      </c>
      <c r="O102">
        <v>99</v>
      </c>
      <c r="Q102">
        <v>98</v>
      </c>
      <c r="AA102" t="s">
        <v>191</v>
      </c>
    </row>
    <row r="103" spans="1:27" x14ac:dyDescent="0.35">
      <c r="A103" t="s">
        <v>163</v>
      </c>
      <c r="B103" s="2">
        <v>45978</v>
      </c>
      <c r="C103" t="s">
        <v>171</v>
      </c>
      <c r="E103" t="s">
        <v>172</v>
      </c>
      <c r="F103">
        <v>72</v>
      </c>
      <c r="G103" s="3" t="s">
        <v>173</v>
      </c>
      <c r="H103" t="s">
        <v>16</v>
      </c>
      <c r="I103" t="s">
        <v>186</v>
      </c>
      <c r="J103">
        <v>1</v>
      </c>
      <c r="M103" t="s">
        <v>180</v>
      </c>
      <c r="N103" t="s">
        <v>45</v>
      </c>
      <c r="O103" t="s">
        <v>190</v>
      </c>
      <c r="Q103">
        <v>100</v>
      </c>
      <c r="AA103" t="s">
        <v>191</v>
      </c>
    </row>
    <row r="104" spans="1:27" x14ac:dyDescent="0.35">
      <c r="A104" t="s">
        <v>164</v>
      </c>
      <c r="B104" s="2">
        <v>45978</v>
      </c>
      <c r="C104" t="s">
        <v>171</v>
      </c>
      <c r="E104" t="s">
        <v>172</v>
      </c>
      <c r="F104">
        <v>77</v>
      </c>
      <c r="G104" s="3" t="s">
        <v>173</v>
      </c>
      <c r="H104" t="s">
        <v>16</v>
      </c>
      <c r="I104" t="s">
        <v>186</v>
      </c>
      <c r="J104">
        <v>2</v>
      </c>
      <c r="M104" t="s">
        <v>180</v>
      </c>
      <c r="N104" t="s">
        <v>46</v>
      </c>
      <c r="O104">
        <v>101</v>
      </c>
      <c r="Q104">
        <v>101</v>
      </c>
      <c r="AA104" t="s">
        <v>191</v>
      </c>
    </row>
    <row r="105" spans="1:27" x14ac:dyDescent="0.35">
      <c r="A105" t="s">
        <v>165</v>
      </c>
      <c r="B105" s="2">
        <v>45978</v>
      </c>
      <c r="C105" t="s">
        <v>171</v>
      </c>
      <c r="E105" t="s">
        <v>172</v>
      </c>
      <c r="F105">
        <v>73</v>
      </c>
      <c r="G105" s="3" t="s">
        <v>173</v>
      </c>
      <c r="H105" t="s">
        <v>16</v>
      </c>
      <c r="I105" t="s">
        <v>186</v>
      </c>
      <c r="J105">
        <v>3</v>
      </c>
      <c r="M105" t="s">
        <v>180</v>
      </c>
      <c r="N105" t="s">
        <v>47</v>
      </c>
      <c r="O105">
        <v>102</v>
      </c>
      <c r="Q105">
        <v>102</v>
      </c>
      <c r="AA105" t="s">
        <v>191</v>
      </c>
    </row>
    <row r="106" spans="1:27" x14ac:dyDescent="0.35">
      <c r="A106" t="s">
        <v>166</v>
      </c>
      <c r="B106" s="2">
        <v>45978</v>
      </c>
      <c r="C106" t="s">
        <v>171</v>
      </c>
      <c r="E106" t="s">
        <v>172</v>
      </c>
      <c r="F106">
        <v>78</v>
      </c>
      <c r="G106" s="3" t="s">
        <v>173</v>
      </c>
      <c r="H106" t="s">
        <v>16</v>
      </c>
      <c r="I106" t="s">
        <v>186</v>
      </c>
      <c r="J106">
        <v>4</v>
      </c>
      <c r="M106" t="s">
        <v>180</v>
      </c>
      <c r="N106" t="s">
        <v>17</v>
      </c>
      <c r="O106">
        <v>103</v>
      </c>
      <c r="Q106">
        <v>103</v>
      </c>
      <c r="AA106" t="s">
        <v>191</v>
      </c>
    </row>
    <row r="107" spans="1:27" x14ac:dyDescent="0.35">
      <c r="A107" t="s">
        <v>167</v>
      </c>
      <c r="B107" s="2">
        <v>45978</v>
      </c>
      <c r="C107" t="s">
        <v>171</v>
      </c>
      <c r="E107" t="s">
        <v>172</v>
      </c>
      <c r="F107">
        <v>74</v>
      </c>
      <c r="G107" s="3" t="s">
        <v>173</v>
      </c>
      <c r="H107" t="s">
        <v>16</v>
      </c>
      <c r="I107" t="s">
        <v>186</v>
      </c>
      <c r="J107">
        <v>5</v>
      </c>
      <c r="M107" t="s">
        <v>180</v>
      </c>
      <c r="N107" t="s">
        <v>18</v>
      </c>
      <c r="O107">
        <v>104</v>
      </c>
      <c r="Q107">
        <v>104</v>
      </c>
      <c r="AA107" t="s">
        <v>191</v>
      </c>
    </row>
    <row r="108" spans="1:27" x14ac:dyDescent="0.35">
      <c r="A108" t="s">
        <v>168</v>
      </c>
      <c r="B108" s="2">
        <v>45978</v>
      </c>
      <c r="C108" t="s">
        <v>171</v>
      </c>
      <c r="E108" t="s">
        <v>172</v>
      </c>
      <c r="F108">
        <v>78</v>
      </c>
      <c r="G108" s="3" t="s">
        <v>173</v>
      </c>
      <c r="H108" t="s">
        <v>16</v>
      </c>
      <c r="I108" t="s">
        <v>186</v>
      </c>
      <c r="J108">
        <v>6</v>
      </c>
      <c r="M108" t="s">
        <v>180</v>
      </c>
      <c r="N108" t="s">
        <v>19</v>
      </c>
      <c r="O108">
        <v>105</v>
      </c>
      <c r="Q108">
        <v>105</v>
      </c>
      <c r="AA108" t="s">
        <v>191</v>
      </c>
    </row>
    <row r="109" spans="1:27" x14ac:dyDescent="0.35">
      <c r="A109" t="s">
        <v>169</v>
      </c>
      <c r="B109" s="2">
        <v>45978</v>
      </c>
      <c r="C109" t="s">
        <v>171</v>
      </c>
      <c r="E109" t="s">
        <v>172</v>
      </c>
      <c r="F109">
        <v>79</v>
      </c>
      <c r="G109" s="3" t="s">
        <v>173</v>
      </c>
      <c r="H109" t="s">
        <v>16</v>
      </c>
      <c r="I109" t="s">
        <v>186</v>
      </c>
      <c r="J109">
        <v>7</v>
      </c>
      <c r="M109" t="s">
        <v>180</v>
      </c>
      <c r="N109" t="s">
        <v>20</v>
      </c>
      <c r="O109">
        <v>106</v>
      </c>
      <c r="Q109">
        <v>106</v>
      </c>
      <c r="AA109" t="s">
        <v>191</v>
      </c>
    </row>
    <row r="110" spans="1:27" x14ac:dyDescent="0.35">
      <c r="A110" t="s">
        <v>170</v>
      </c>
      <c r="B110" s="2">
        <v>45978</v>
      </c>
      <c r="C110" t="s">
        <v>171</v>
      </c>
      <c r="E110" t="s">
        <v>172</v>
      </c>
      <c r="F110">
        <v>74</v>
      </c>
      <c r="G110" s="3" t="s">
        <v>173</v>
      </c>
      <c r="H110" t="s">
        <v>16</v>
      </c>
      <c r="I110" t="s">
        <v>186</v>
      </c>
      <c r="J110">
        <v>8</v>
      </c>
      <c r="M110" t="s">
        <v>180</v>
      </c>
      <c r="N110" t="s">
        <v>21</v>
      </c>
      <c r="O110">
        <v>107</v>
      </c>
      <c r="Q110">
        <v>107</v>
      </c>
      <c r="AA110" t="s">
        <v>191</v>
      </c>
    </row>
    <row r="111" spans="1:27" x14ac:dyDescent="0.35">
      <c r="A111" t="s">
        <v>194</v>
      </c>
      <c r="B111" s="2">
        <v>45978</v>
      </c>
      <c r="C111" t="s">
        <v>171</v>
      </c>
      <c r="E111" t="s">
        <v>172</v>
      </c>
      <c r="F111">
        <v>72</v>
      </c>
      <c r="G111" s="3" t="s">
        <v>173</v>
      </c>
      <c r="H111" t="s">
        <v>16</v>
      </c>
      <c r="I111" t="s">
        <v>186</v>
      </c>
      <c r="J111">
        <v>9</v>
      </c>
      <c r="M111" t="s">
        <v>180</v>
      </c>
      <c r="N111" t="s">
        <v>22</v>
      </c>
      <c r="O111">
        <v>108</v>
      </c>
      <c r="Q111">
        <v>108</v>
      </c>
      <c r="AA111" t="s">
        <v>191</v>
      </c>
    </row>
    <row r="112" spans="1:27" x14ac:dyDescent="0.35">
      <c r="A112" t="s">
        <v>195</v>
      </c>
      <c r="B112" s="2">
        <v>45978</v>
      </c>
      <c r="C112" t="s">
        <v>171</v>
      </c>
      <c r="E112" t="s">
        <v>172</v>
      </c>
      <c r="F112">
        <v>80</v>
      </c>
      <c r="G112" s="3" t="s">
        <v>173</v>
      </c>
      <c r="H112" t="s">
        <v>16</v>
      </c>
      <c r="I112" t="s">
        <v>186</v>
      </c>
      <c r="J112">
        <v>10</v>
      </c>
      <c r="M112" t="s">
        <v>180</v>
      </c>
      <c r="N112" t="s">
        <v>23</v>
      </c>
      <c r="O112">
        <v>109</v>
      </c>
      <c r="Q112">
        <v>109</v>
      </c>
      <c r="AA112" t="s">
        <v>191</v>
      </c>
    </row>
    <row r="113" spans="1:27" x14ac:dyDescent="0.35">
      <c r="A113" t="s">
        <v>196</v>
      </c>
      <c r="B113" s="2">
        <v>45978</v>
      </c>
      <c r="C113" t="s">
        <v>171</v>
      </c>
      <c r="E113" t="s">
        <v>172</v>
      </c>
      <c r="F113">
        <v>83</v>
      </c>
      <c r="G113" s="3" t="s">
        <v>173</v>
      </c>
      <c r="H113" t="s">
        <v>16</v>
      </c>
      <c r="I113" t="s">
        <v>186</v>
      </c>
      <c r="J113">
        <v>11</v>
      </c>
      <c r="M113" t="s">
        <v>180</v>
      </c>
      <c r="N113" t="s">
        <v>24</v>
      </c>
      <c r="O113">
        <v>110</v>
      </c>
      <c r="Q113">
        <v>110</v>
      </c>
      <c r="AA113" t="s">
        <v>191</v>
      </c>
    </row>
    <row r="114" spans="1:27" x14ac:dyDescent="0.35">
      <c r="A114" t="s">
        <v>197</v>
      </c>
      <c r="B114" s="2">
        <v>45978</v>
      </c>
      <c r="C114" t="s">
        <v>171</v>
      </c>
      <c r="E114" t="s">
        <v>172</v>
      </c>
      <c r="F114">
        <v>77</v>
      </c>
      <c r="G114" s="3" t="s">
        <v>173</v>
      </c>
      <c r="H114" t="s">
        <v>16</v>
      </c>
      <c r="I114" t="s">
        <v>186</v>
      </c>
      <c r="J114">
        <v>12</v>
      </c>
      <c r="M114" t="s">
        <v>180</v>
      </c>
      <c r="N114" t="s">
        <v>25</v>
      </c>
      <c r="O114">
        <v>111</v>
      </c>
      <c r="Q114">
        <v>111</v>
      </c>
      <c r="AA114" t="s">
        <v>191</v>
      </c>
    </row>
    <row r="115" spans="1:27" x14ac:dyDescent="0.35">
      <c r="A115" t="s">
        <v>198</v>
      </c>
      <c r="B115" s="2">
        <v>45978</v>
      </c>
      <c r="C115" t="s">
        <v>171</v>
      </c>
      <c r="E115" t="s">
        <v>172</v>
      </c>
      <c r="F115">
        <v>85</v>
      </c>
      <c r="G115" s="3" t="s">
        <v>173</v>
      </c>
      <c r="H115" t="s">
        <v>16</v>
      </c>
      <c r="I115" t="s">
        <v>186</v>
      </c>
      <c r="J115">
        <v>13</v>
      </c>
      <c r="M115" t="s">
        <v>180</v>
      </c>
      <c r="N115" t="s">
        <v>26</v>
      </c>
      <c r="O115">
        <v>112</v>
      </c>
      <c r="Q115">
        <v>112</v>
      </c>
      <c r="AA115" t="s">
        <v>191</v>
      </c>
    </row>
    <row r="116" spans="1:27" x14ac:dyDescent="0.35">
      <c r="A116" t="s">
        <v>199</v>
      </c>
      <c r="B116" s="2">
        <v>45978</v>
      </c>
      <c r="C116" t="s">
        <v>171</v>
      </c>
      <c r="E116" t="s">
        <v>172</v>
      </c>
      <c r="F116">
        <v>69</v>
      </c>
      <c r="G116" s="3" t="s">
        <v>173</v>
      </c>
      <c r="H116" t="s">
        <v>16</v>
      </c>
      <c r="I116" t="s">
        <v>186</v>
      </c>
      <c r="J116">
        <v>14</v>
      </c>
      <c r="M116" t="s">
        <v>180</v>
      </c>
      <c r="N116" t="s">
        <v>27</v>
      </c>
      <c r="O116">
        <v>113</v>
      </c>
      <c r="Q116">
        <v>113</v>
      </c>
      <c r="AA116" t="s">
        <v>191</v>
      </c>
    </row>
    <row r="117" spans="1:27" x14ac:dyDescent="0.35">
      <c r="A117" t="s">
        <v>200</v>
      </c>
      <c r="B117" s="2">
        <v>45978</v>
      </c>
      <c r="C117" t="s">
        <v>171</v>
      </c>
      <c r="E117" t="s">
        <v>172</v>
      </c>
      <c r="F117">
        <v>80</v>
      </c>
      <c r="G117" s="3" t="s">
        <v>173</v>
      </c>
      <c r="H117" t="s">
        <v>16</v>
      </c>
      <c r="I117" t="s">
        <v>186</v>
      </c>
      <c r="J117">
        <v>15</v>
      </c>
      <c r="M117" t="s">
        <v>180</v>
      </c>
      <c r="N117" t="s">
        <v>28</v>
      </c>
      <c r="O117">
        <v>114</v>
      </c>
      <c r="Q117">
        <v>114</v>
      </c>
      <c r="AA117" t="s">
        <v>191</v>
      </c>
    </row>
    <row r="118" spans="1:27" x14ac:dyDescent="0.35">
      <c r="A118" t="s">
        <v>201</v>
      </c>
      <c r="B118" s="2">
        <v>45978</v>
      </c>
      <c r="C118" t="s">
        <v>171</v>
      </c>
      <c r="E118" t="s">
        <v>172</v>
      </c>
      <c r="F118">
        <v>75</v>
      </c>
      <c r="G118" s="3" t="s">
        <v>173</v>
      </c>
      <c r="H118" t="s">
        <v>16</v>
      </c>
      <c r="I118" t="s">
        <v>186</v>
      </c>
      <c r="J118">
        <v>16</v>
      </c>
      <c r="M118" t="s">
        <v>180</v>
      </c>
      <c r="N118" t="s">
        <v>29</v>
      </c>
      <c r="O118">
        <v>115</v>
      </c>
      <c r="Q118">
        <v>116</v>
      </c>
      <c r="AA118" t="s">
        <v>191</v>
      </c>
    </row>
    <row r="119" spans="1:27" x14ac:dyDescent="0.35">
      <c r="A119" t="s">
        <v>202</v>
      </c>
      <c r="B119" s="2">
        <v>45978</v>
      </c>
      <c r="C119" t="s">
        <v>171</v>
      </c>
      <c r="E119" t="s">
        <v>172</v>
      </c>
      <c r="F119">
        <v>73</v>
      </c>
      <c r="G119" s="3" t="s">
        <v>173</v>
      </c>
      <c r="H119" t="s">
        <v>16</v>
      </c>
      <c r="I119" t="s">
        <v>186</v>
      </c>
      <c r="J119">
        <v>17</v>
      </c>
      <c r="M119" t="s">
        <v>180</v>
      </c>
      <c r="N119" t="s">
        <v>30</v>
      </c>
      <c r="O119">
        <v>116</v>
      </c>
      <c r="Q119" t="s">
        <v>192</v>
      </c>
      <c r="AA119" t="s">
        <v>191</v>
      </c>
    </row>
    <row r="120" spans="1:27" x14ac:dyDescent="0.35">
      <c r="A120" t="s">
        <v>203</v>
      </c>
      <c r="B120" s="2">
        <v>45978</v>
      </c>
      <c r="C120" t="s">
        <v>171</v>
      </c>
      <c r="E120" t="s">
        <v>172</v>
      </c>
      <c r="F120">
        <v>66</v>
      </c>
      <c r="G120" s="3" t="s">
        <v>173</v>
      </c>
      <c r="H120" t="s">
        <v>16</v>
      </c>
      <c r="I120" t="s">
        <v>186</v>
      </c>
      <c r="J120">
        <v>18</v>
      </c>
      <c r="M120" t="s">
        <v>180</v>
      </c>
      <c r="N120" t="s">
        <v>31</v>
      </c>
      <c r="O120">
        <v>117</v>
      </c>
      <c r="Q120">
        <v>118</v>
      </c>
      <c r="AA120" t="s">
        <v>191</v>
      </c>
    </row>
    <row r="121" spans="1:27" x14ac:dyDescent="0.35">
      <c r="A121" t="s">
        <v>204</v>
      </c>
      <c r="B121" s="2">
        <v>45978</v>
      </c>
      <c r="C121" t="s">
        <v>171</v>
      </c>
      <c r="E121" t="s">
        <v>172</v>
      </c>
      <c r="F121">
        <v>75</v>
      </c>
      <c r="G121" s="3" t="s">
        <v>173</v>
      </c>
      <c r="H121" t="s">
        <v>16</v>
      </c>
      <c r="I121" t="s">
        <v>186</v>
      </c>
      <c r="J121">
        <v>19</v>
      </c>
      <c r="M121" t="s">
        <v>180</v>
      </c>
      <c r="N121" t="s">
        <v>32</v>
      </c>
      <c r="O121">
        <v>118</v>
      </c>
      <c r="Q121">
        <v>121</v>
      </c>
      <c r="AA121" t="s">
        <v>191</v>
      </c>
    </row>
    <row r="122" spans="1:27" x14ac:dyDescent="0.35">
      <c r="A122" t="s">
        <v>205</v>
      </c>
      <c r="B122" s="2">
        <v>45978</v>
      </c>
      <c r="C122" t="s">
        <v>171</v>
      </c>
      <c r="E122" t="s">
        <v>172</v>
      </c>
      <c r="F122">
        <v>78</v>
      </c>
      <c r="G122" s="3" t="s">
        <v>173</v>
      </c>
      <c r="H122" t="s">
        <v>16</v>
      </c>
      <c r="I122" t="s">
        <v>186</v>
      </c>
      <c r="J122">
        <v>20</v>
      </c>
      <c r="M122" t="s">
        <v>180</v>
      </c>
      <c r="N122" t="s">
        <v>33</v>
      </c>
      <c r="O122">
        <v>119</v>
      </c>
      <c r="Q122">
        <v>122</v>
      </c>
      <c r="AA122" t="s">
        <v>191</v>
      </c>
    </row>
    <row r="123" spans="1:27" x14ac:dyDescent="0.35">
      <c r="A123" t="s">
        <v>206</v>
      </c>
      <c r="B123" s="2">
        <v>45978</v>
      </c>
      <c r="C123" t="s">
        <v>171</v>
      </c>
      <c r="E123" t="s">
        <v>172</v>
      </c>
      <c r="F123">
        <v>73</v>
      </c>
      <c r="G123" s="3" t="s">
        <v>173</v>
      </c>
      <c r="H123" t="s">
        <v>16</v>
      </c>
      <c r="I123" t="s">
        <v>179</v>
      </c>
      <c r="J123">
        <v>1</v>
      </c>
      <c r="M123" t="s">
        <v>180</v>
      </c>
      <c r="N123" t="s">
        <v>34</v>
      </c>
      <c r="O123">
        <v>120</v>
      </c>
      <c r="Q123">
        <v>124</v>
      </c>
      <c r="AA123" t="s">
        <v>191</v>
      </c>
    </row>
    <row r="124" spans="1:27" x14ac:dyDescent="0.35">
      <c r="A124" t="s">
        <v>207</v>
      </c>
      <c r="B124" s="2">
        <v>45978</v>
      </c>
      <c r="C124" t="s">
        <v>171</v>
      </c>
      <c r="E124" t="s">
        <v>172</v>
      </c>
      <c r="F124">
        <v>71</v>
      </c>
      <c r="G124" s="3" t="s">
        <v>173</v>
      </c>
      <c r="H124" t="s">
        <v>16</v>
      </c>
      <c r="I124" t="s">
        <v>179</v>
      </c>
      <c r="J124">
        <v>2</v>
      </c>
      <c r="M124" t="s">
        <v>180</v>
      </c>
      <c r="N124" t="s">
        <v>35</v>
      </c>
      <c r="O124">
        <v>121</v>
      </c>
      <c r="Q124">
        <v>126</v>
      </c>
      <c r="AA124" t="s">
        <v>191</v>
      </c>
    </row>
    <row r="125" spans="1:27" x14ac:dyDescent="0.35">
      <c r="A125" t="s">
        <v>208</v>
      </c>
      <c r="B125" s="2">
        <v>45978</v>
      </c>
      <c r="C125" t="s">
        <v>171</v>
      </c>
      <c r="E125" t="s">
        <v>172</v>
      </c>
      <c r="F125">
        <v>76</v>
      </c>
      <c r="G125" s="3" t="s">
        <v>173</v>
      </c>
      <c r="H125" t="s">
        <v>16</v>
      </c>
      <c r="I125" t="s">
        <v>179</v>
      </c>
      <c r="J125">
        <v>3</v>
      </c>
      <c r="M125" t="s">
        <v>180</v>
      </c>
      <c r="N125" t="s">
        <v>36</v>
      </c>
      <c r="O125">
        <v>122</v>
      </c>
      <c r="Q125">
        <v>128</v>
      </c>
      <c r="AA125" t="s">
        <v>191</v>
      </c>
    </row>
    <row r="126" spans="1:27" x14ac:dyDescent="0.35">
      <c r="A126" t="s">
        <v>209</v>
      </c>
      <c r="B126" s="2">
        <v>45978</v>
      </c>
      <c r="C126" t="s">
        <v>171</v>
      </c>
      <c r="E126" t="s">
        <v>172</v>
      </c>
      <c r="F126">
        <v>83</v>
      </c>
      <c r="G126" s="3" t="s">
        <v>173</v>
      </c>
      <c r="H126" t="s">
        <v>16</v>
      </c>
      <c r="I126" t="s">
        <v>179</v>
      </c>
      <c r="J126">
        <v>4</v>
      </c>
      <c r="M126" t="s">
        <v>180</v>
      </c>
      <c r="N126" t="s">
        <v>37</v>
      </c>
      <c r="O126">
        <v>123</v>
      </c>
      <c r="Q126">
        <v>130</v>
      </c>
      <c r="AA126" t="s">
        <v>191</v>
      </c>
    </row>
    <row r="127" spans="1:27" x14ac:dyDescent="0.35">
      <c r="A127" t="s">
        <v>210</v>
      </c>
      <c r="B127" s="2">
        <v>45978</v>
      </c>
      <c r="C127" t="s">
        <v>171</v>
      </c>
      <c r="E127" t="s">
        <v>172</v>
      </c>
      <c r="F127">
        <v>64</v>
      </c>
      <c r="G127" s="3" t="s">
        <v>173</v>
      </c>
      <c r="H127" t="s">
        <v>16</v>
      </c>
      <c r="I127" t="s">
        <v>179</v>
      </c>
      <c r="J127">
        <v>5</v>
      </c>
      <c r="M127" t="s">
        <v>180</v>
      </c>
      <c r="N127" t="s">
        <v>38</v>
      </c>
      <c r="O127">
        <v>124</v>
      </c>
      <c r="Q127">
        <v>132</v>
      </c>
      <c r="AA127" t="s">
        <v>191</v>
      </c>
    </row>
    <row r="128" spans="1:27" x14ac:dyDescent="0.35">
      <c r="A128" t="s">
        <v>211</v>
      </c>
      <c r="B128" s="2">
        <v>45978</v>
      </c>
      <c r="C128" t="s">
        <v>171</v>
      </c>
      <c r="E128" t="s">
        <v>172</v>
      </c>
      <c r="F128">
        <v>79</v>
      </c>
      <c r="G128" s="3" t="s">
        <v>173</v>
      </c>
      <c r="H128" t="s">
        <v>16</v>
      </c>
      <c r="I128" t="s">
        <v>179</v>
      </c>
      <c r="J128">
        <v>6</v>
      </c>
      <c r="M128" t="s">
        <v>180</v>
      </c>
      <c r="N128" t="s">
        <v>39</v>
      </c>
      <c r="O128">
        <v>125</v>
      </c>
      <c r="Q128">
        <v>133</v>
      </c>
      <c r="AA128" t="s">
        <v>191</v>
      </c>
    </row>
    <row r="129" spans="1:27" x14ac:dyDescent="0.35">
      <c r="A129" t="s">
        <v>212</v>
      </c>
      <c r="B129" s="2">
        <v>45978</v>
      </c>
      <c r="C129" t="s">
        <v>171</v>
      </c>
      <c r="E129" t="s">
        <v>172</v>
      </c>
      <c r="F129">
        <v>69</v>
      </c>
      <c r="G129" s="3" t="s">
        <v>173</v>
      </c>
      <c r="H129" t="s">
        <v>49</v>
      </c>
      <c r="I129" t="s">
        <v>179</v>
      </c>
      <c r="J129">
        <v>7</v>
      </c>
      <c r="M129" t="s">
        <v>180</v>
      </c>
      <c r="N129" t="s">
        <v>41</v>
      </c>
      <c r="O129">
        <v>126</v>
      </c>
      <c r="Q129">
        <v>135</v>
      </c>
      <c r="AA129" t="s">
        <v>191</v>
      </c>
    </row>
    <row r="130" spans="1:27" x14ac:dyDescent="0.35">
      <c r="A130" t="s">
        <v>213</v>
      </c>
      <c r="B130" s="2">
        <v>45978</v>
      </c>
      <c r="C130" t="s">
        <v>171</v>
      </c>
      <c r="E130" t="s">
        <v>172</v>
      </c>
      <c r="F130">
        <v>69</v>
      </c>
      <c r="G130" s="3" t="s">
        <v>174</v>
      </c>
      <c r="H130" t="s">
        <v>48</v>
      </c>
      <c r="I130" t="s">
        <v>179</v>
      </c>
      <c r="J130">
        <v>8</v>
      </c>
      <c r="M130" t="s">
        <v>180</v>
      </c>
      <c r="N130" t="s">
        <v>42</v>
      </c>
      <c r="O130">
        <v>127</v>
      </c>
      <c r="Q130">
        <v>138</v>
      </c>
      <c r="AA130" t="s">
        <v>191</v>
      </c>
    </row>
    <row r="131" spans="1:27" x14ac:dyDescent="0.35">
      <c r="A131" t="s">
        <v>214</v>
      </c>
      <c r="B131" s="2">
        <v>45978</v>
      </c>
      <c r="C131" t="s">
        <v>171</v>
      </c>
      <c r="E131" t="s">
        <v>172</v>
      </c>
      <c r="F131">
        <v>78</v>
      </c>
      <c r="G131" s="3" t="s">
        <v>173</v>
      </c>
      <c r="H131" t="s">
        <v>48</v>
      </c>
      <c r="I131" t="s">
        <v>179</v>
      </c>
      <c r="J131">
        <v>9</v>
      </c>
      <c r="M131" t="s">
        <v>180</v>
      </c>
      <c r="N131" t="s">
        <v>43</v>
      </c>
      <c r="O131">
        <v>128</v>
      </c>
      <c r="Q131">
        <v>139</v>
      </c>
      <c r="AA131" t="s">
        <v>191</v>
      </c>
    </row>
    <row r="132" spans="1:27" x14ac:dyDescent="0.35">
      <c r="A132" t="s">
        <v>215</v>
      </c>
      <c r="B132" s="2">
        <v>45978</v>
      </c>
      <c r="C132" t="s">
        <v>171</v>
      </c>
      <c r="E132" t="s">
        <v>172</v>
      </c>
      <c r="F132">
        <v>69</v>
      </c>
      <c r="G132" s="3" t="s">
        <v>173</v>
      </c>
      <c r="H132" t="s">
        <v>16</v>
      </c>
      <c r="I132" t="s">
        <v>179</v>
      </c>
      <c r="J132">
        <v>10</v>
      </c>
      <c r="M132" t="s">
        <v>180</v>
      </c>
      <c r="N132" t="s">
        <v>44</v>
      </c>
      <c r="O132">
        <v>129</v>
      </c>
      <c r="Q132">
        <v>142</v>
      </c>
      <c r="AA132" t="s">
        <v>181</v>
      </c>
    </row>
    <row r="133" spans="1:27" x14ac:dyDescent="0.35">
      <c r="A133" t="s">
        <v>216</v>
      </c>
      <c r="B133" s="2">
        <v>45978</v>
      </c>
      <c r="C133" t="s">
        <v>171</v>
      </c>
      <c r="E133" t="s">
        <v>172</v>
      </c>
      <c r="F133">
        <v>71</v>
      </c>
      <c r="G133" s="3" t="s">
        <v>173</v>
      </c>
      <c r="H133" t="s">
        <v>16</v>
      </c>
      <c r="I133" t="s">
        <v>179</v>
      </c>
      <c r="J133">
        <v>11</v>
      </c>
      <c r="M133" t="s">
        <v>180</v>
      </c>
      <c r="N133" t="s">
        <v>45</v>
      </c>
      <c r="O133">
        <v>130</v>
      </c>
      <c r="Q133">
        <v>144</v>
      </c>
      <c r="AA133" t="s">
        <v>181</v>
      </c>
    </row>
    <row r="134" spans="1:27" x14ac:dyDescent="0.35">
      <c r="A134" t="s">
        <v>217</v>
      </c>
      <c r="B134" s="2">
        <v>45978</v>
      </c>
      <c r="C134" t="s">
        <v>171</v>
      </c>
      <c r="E134" t="s">
        <v>172</v>
      </c>
      <c r="F134">
        <v>72</v>
      </c>
      <c r="G134" s="3" t="s">
        <v>174</v>
      </c>
      <c r="H134" t="s">
        <v>16</v>
      </c>
      <c r="I134" t="s">
        <v>179</v>
      </c>
      <c r="J134">
        <v>12</v>
      </c>
      <c r="M134" t="s">
        <v>180</v>
      </c>
      <c r="N134" t="s">
        <v>46</v>
      </c>
      <c r="O134">
        <v>131</v>
      </c>
      <c r="Q134">
        <v>146</v>
      </c>
      <c r="AA134" t="s">
        <v>181</v>
      </c>
    </row>
    <row r="135" spans="1:27" x14ac:dyDescent="0.35">
      <c r="A135" t="s">
        <v>218</v>
      </c>
      <c r="B135" s="2">
        <v>45978</v>
      </c>
      <c r="C135" t="s">
        <v>171</v>
      </c>
      <c r="E135" t="s">
        <v>172</v>
      </c>
      <c r="F135">
        <v>75</v>
      </c>
      <c r="G135" s="3" t="s">
        <v>174</v>
      </c>
      <c r="H135" t="s">
        <v>16</v>
      </c>
      <c r="I135" t="s">
        <v>179</v>
      </c>
      <c r="J135">
        <v>13</v>
      </c>
      <c r="M135" t="s">
        <v>180</v>
      </c>
      <c r="N135" t="s">
        <v>47</v>
      </c>
      <c r="O135">
        <v>132</v>
      </c>
      <c r="Q135">
        <v>148</v>
      </c>
      <c r="AA135" t="s">
        <v>181</v>
      </c>
    </row>
    <row r="136" spans="1:27" x14ac:dyDescent="0.35">
      <c r="A136" t="s">
        <v>219</v>
      </c>
      <c r="B136" s="2">
        <v>45978</v>
      </c>
      <c r="C136" t="s">
        <v>171</v>
      </c>
      <c r="E136" t="s">
        <v>172</v>
      </c>
      <c r="F136">
        <v>76</v>
      </c>
      <c r="G136" s="3" t="s">
        <v>173</v>
      </c>
      <c r="H136" t="s">
        <v>16</v>
      </c>
      <c r="I136" t="s">
        <v>179</v>
      </c>
      <c r="J136">
        <v>14</v>
      </c>
      <c r="M136" t="s">
        <v>180</v>
      </c>
      <c r="N136" t="s">
        <v>17</v>
      </c>
      <c r="O136">
        <v>133</v>
      </c>
      <c r="Q136" t="s">
        <v>192</v>
      </c>
      <c r="AA136" t="s">
        <v>181</v>
      </c>
    </row>
    <row r="137" spans="1:27" x14ac:dyDescent="0.35">
      <c r="A137" t="s">
        <v>220</v>
      </c>
      <c r="B137" s="2">
        <v>45978</v>
      </c>
      <c r="C137" t="s">
        <v>171</v>
      </c>
      <c r="E137" t="s">
        <v>172</v>
      </c>
      <c r="F137">
        <v>66</v>
      </c>
      <c r="G137" s="3" t="s">
        <v>173</v>
      </c>
      <c r="H137" t="s">
        <v>16</v>
      </c>
      <c r="I137" t="s">
        <v>179</v>
      </c>
      <c r="J137">
        <v>15</v>
      </c>
      <c r="M137" t="s">
        <v>180</v>
      </c>
      <c r="N137" t="s">
        <v>18</v>
      </c>
      <c r="O137">
        <v>134</v>
      </c>
      <c r="Q137">
        <v>153</v>
      </c>
      <c r="AA137" t="s">
        <v>181</v>
      </c>
    </row>
    <row r="138" spans="1:27" x14ac:dyDescent="0.35">
      <c r="A138" t="s">
        <v>221</v>
      </c>
      <c r="B138" s="2">
        <v>45978</v>
      </c>
      <c r="C138" t="s">
        <v>171</v>
      </c>
      <c r="E138" t="s">
        <v>172</v>
      </c>
      <c r="F138">
        <v>78</v>
      </c>
      <c r="G138" s="3" t="s">
        <v>173</v>
      </c>
      <c r="H138" t="s">
        <v>16</v>
      </c>
      <c r="I138" t="s">
        <v>179</v>
      </c>
      <c r="J138">
        <v>16</v>
      </c>
      <c r="M138" t="s">
        <v>180</v>
      </c>
      <c r="N138" t="s">
        <v>19</v>
      </c>
      <c r="O138">
        <v>135</v>
      </c>
      <c r="Q138">
        <v>154</v>
      </c>
      <c r="AA138" t="s">
        <v>181</v>
      </c>
    </row>
    <row r="139" spans="1:27" x14ac:dyDescent="0.35">
      <c r="A139" t="s">
        <v>222</v>
      </c>
      <c r="B139" s="2">
        <v>45978</v>
      </c>
      <c r="C139" t="s">
        <v>171</v>
      </c>
      <c r="E139" t="s">
        <v>172</v>
      </c>
      <c r="F139">
        <v>72</v>
      </c>
      <c r="G139" s="3" t="s">
        <v>173</v>
      </c>
      <c r="H139" t="s">
        <v>16</v>
      </c>
      <c r="I139" t="s">
        <v>179</v>
      </c>
      <c r="J139">
        <v>17</v>
      </c>
      <c r="M139" t="s">
        <v>180</v>
      </c>
      <c r="N139" t="s">
        <v>20</v>
      </c>
      <c r="O139">
        <v>136</v>
      </c>
      <c r="Q139">
        <v>155</v>
      </c>
      <c r="AA139" t="s">
        <v>181</v>
      </c>
    </row>
    <row r="140" spans="1:27" x14ac:dyDescent="0.35">
      <c r="A140" t="s">
        <v>223</v>
      </c>
      <c r="B140" s="2">
        <v>45978</v>
      </c>
      <c r="C140" t="s">
        <v>171</v>
      </c>
      <c r="E140" t="s">
        <v>172</v>
      </c>
      <c r="F140">
        <v>80</v>
      </c>
      <c r="G140" s="3" t="s">
        <v>173</v>
      </c>
      <c r="H140" t="s">
        <v>16</v>
      </c>
      <c r="I140" t="s">
        <v>179</v>
      </c>
      <c r="J140">
        <v>18</v>
      </c>
      <c r="M140" t="s">
        <v>180</v>
      </c>
      <c r="N140" t="s">
        <v>21</v>
      </c>
      <c r="O140">
        <v>137</v>
      </c>
      <c r="Q140">
        <v>157</v>
      </c>
      <c r="AA140" t="s">
        <v>181</v>
      </c>
    </row>
    <row r="141" spans="1:27" x14ac:dyDescent="0.35">
      <c r="A141" t="s">
        <v>224</v>
      </c>
      <c r="B141" s="2">
        <v>45978</v>
      </c>
      <c r="C141" t="s">
        <v>171</v>
      </c>
      <c r="E141" t="s">
        <v>172</v>
      </c>
      <c r="F141">
        <v>83</v>
      </c>
      <c r="G141" s="3" t="s">
        <v>173</v>
      </c>
      <c r="H141" t="s">
        <v>16</v>
      </c>
      <c r="I141" t="s">
        <v>179</v>
      </c>
      <c r="J141">
        <v>19</v>
      </c>
      <c r="M141" t="s">
        <v>180</v>
      </c>
      <c r="N141" t="s">
        <v>22</v>
      </c>
      <c r="O141">
        <v>138</v>
      </c>
      <c r="Q141" t="s">
        <v>192</v>
      </c>
      <c r="AA141" t="s">
        <v>181</v>
      </c>
    </row>
    <row r="142" spans="1:27" x14ac:dyDescent="0.35">
      <c r="A142" t="s">
        <v>225</v>
      </c>
      <c r="B142" s="2">
        <v>45978</v>
      </c>
      <c r="C142" t="s">
        <v>171</v>
      </c>
      <c r="E142" t="s">
        <v>172</v>
      </c>
      <c r="F142">
        <v>70</v>
      </c>
      <c r="G142" s="3" t="s">
        <v>174</v>
      </c>
      <c r="H142" t="s">
        <v>16</v>
      </c>
      <c r="I142" t="s">
        <v>179</v>
      </c>
      <c r="J142">
        <v>20</v>
      </c>
      <c r="M142" t="s">
        <v>180</v>
      </c>
      <c r="N142" t="s">
        <v>28</v>
      </c>
      <c r="O142">
        <v>139</v>
      </c>
      <c r="Q142">
        <v>165</v>
      </c>
      <c r="AA142" t="s">
        <v>193</v>
      </c>
    </row>
    <row r="143" spans="1:27" x14ac:dyDescent="0.35">
      <c r="A143" t="s">
        <v>226</v>
      </c>
      <c r="B143" s="2">
        <v>45978</v>
      </c>
      <c r="C143" t="s">
        <v>171</v>
      </c>
      <c r="E143" t="s">
        <v>172</v>
      </c>
      <c r="F143">
        <v>66</v>
      </c>
      <c r="G143" s="3" t="s">
        <v>173</v>
      </c>
      <c r="H143" t="s">
        <v>49</v>
      </c>
      <c r="I143" t="s">
        <v>185</v>
      </c>
      <c r="J143">
        <v>1</v>
      </c>
      <c r="M143" t="s">
        <v>180</v>
      </c>
      <c r="N143" t="s">
        <v>23</v>
      </c>
      <c r="O143">
        <v>140</v>
      </c>
      <c r="Q143">
        <v>151</v>
      </c>
      <c r="AA143" t="s">
        <v>193</v>
      </c>
    </row>
    <row r="144" spans="1:27" x14ac:dyDescent="0.35">
      <c r="A144" t="s">
        <v>227</v>
      </c>
      <c r="B144" s="2">
        <v>45978</v>
      </c>
      <c r="C144" t="s">
        <v>171</v>
      </c>
      <c r="E144" t="s">
        <v>172</v>
      </c>
      <c r="F144">
        <v>67</v>
      </c>
      <c r="G144" s="3" t="s">
        <v>173</v>
      </c>
      <c r="H144" t="s">
        <v>49</v>
      </c>
      <c r="I144" t="s">
        <v>185</v>
      </c>
      <c r="J144">
        <v>2</v>
      </c>
      <c r="M144" t="s">
        <v>180</v>
      </c>
      <c r="N144" t="s">
        <v>24</v>
      </c>
      <c r="O144">
        <v>141</v>
      </c>
      <c r="Q144">
        <v>161</v>
      </c>
      <c r="AA144" t="s">
        <v>193</v>
      </c>
    </row>
    <row r="145" spans="1:27" x14ac:dyDescent="0.35">
      <c r="A145" t="s">
        <v>228</v>
      </c>
      <c r="B145" s="2">
        <v>45978</v>
      </c>
      <c r="C145" t="s">
        <v>171</v>
      </c>
      <c r="E145" t="s">
        <v>172</v>
      </c>
      <c r="F145">
        <v>78</v>
      </c>
      <c r="G145" s="3" t="s">
        <v>173</v>
      </c>
      <c r="H145" t="s">
        <v>49</v>
      </c>
      <c r="I145" t="s">
        <v>185</v>
      </c>
      <c r="J145">
        <v>3</v>
      </c>
      <c r="M145" t="s">
        <v>180</v>
      </c>
      <c r="N145" t="s">
        <v>25</v>
      </c>
      <c r="O145">
        <v>142</v>
      </c>
      <c r="Q145">
        <v>162</v>
      </c>
      <c r="AA145" t="s">
        <v>193</v>
      </c>
    </row>
    <row r="146" spans="1:27" x14ac:dyDescent="0.35">
      <c r="A146" t="s">
        <v>229</v>
      </c>
      <c r="B146" s="2">
        <v>45978</v>
      </c>
      <c r="C146" t="s">
        <v>171</v>
      </c>
      <c r="E146" t="s">
        <v>172</v>
      </c>
      <c r="F146">
        <v>74</v>
      </c>
      <c r="G146" s="3" t="s">
        <v>173</v>
      </c>
      <c r="H146" t="s">
        <v>49</v>
      </c>
      <c r="I146" t="s">
        <v>185</v>
      </c>
      <c r="J146">
        <v>4</v>
      </c>
      <c r="M146" t="s">
        <v>180</v>
      </c>
      <c r="N146" t="s">
        <v>26</v>
      </c>
      <c r="O146">
        <v>143</v>
      </c>
      <c r="Q146">
        <v>167</v>
      </c>
      <c r="AA146" t="s">
        <v>193</v>
      </c>
    </row>
    <row r="147" spans="1:27" x14ac:dyDescent="0.35">
      <c r="A147" t="s">
        <v>230</v>
      </c>
      <c r="B147" s="2">
        <v>45978</v>
      </c>
      <c r="C147" t="s">
        <v>171</v>
      </c>
      <c r="E147" t="s">
        <v>172</v>
      </c>
      <c r="F147">
        <v>74</v>
      </c>
      <c r="G147" s="3" t="s">
        <v>173</v>
      </c>
      <c r="H147" t="s">
        <v>16</v>
      </c>
      <c r="I147" t="s">
        <v>231</v>
      </c>
      <c r="J147">
        <v>1</v>
      </c>
      <c r="M147" t="s">
        <v>180</v>
      </c>
      <c r="N147" t="s">
        <v>17</v>
      </c>
      <c r="O147">
        <v>144</v>
      </c>
      <c r="Q147">
        <v>117</v>
      </c>
      <c r="AA147" t="s">
        <v>193</v>
      </c>
    </row>
    <row r="148" spans="1:27" x14ac:dyDescent="0.35">
      <c r="A148" t="s">
        <v>233</v>
      </c>
      <c r="B148" s="2">
        <v>45978</v>
      </c>
      <c r="C148" t="s">
        <v>171</v>
      </c>
      <c r="E148" t="s">
        <v>172</v>
      </c>
      <c r="F148">
        <v>64</v>
      </c>
      <c r="G148" s="3" t="s">
        <v>173</v>
      </c>
      <c r="H148" t="s">
        <v>16</v>
      </c>
      <c r="I148" t="s">
        <v>231</v>
      </c>
      <c r="J148">
        <v>2</v>
      </c>
      <c r="M148" t="s">
        <v>180</v>
      </c>
      <c r="N148" t="s">
        <v>18</v>
      </c>
      <c r="O148">
        <v>145</v>
      </c>
      <c r="Q148">
        <v>119</v>
      </c>
      <c r="AA148" t="s">
        <v>193</v>
      </c>
    </row>
    <row r="149" spans="1:27" x14ac:dyDescent="0.35">
      <c r="B149" s="2">
        <v>45978</v>
      </c>
      <c r="C149" t="s">
        <v>171</v>
      </c>
      <c r="E149" t="s">
        <v>172</v>
      </c>
      <c r="F149">
        <v>74</v>
      </c>
      <c r="G149" s="3" t="s">
        <v>173</v>
      </c>
      <c r="H149" t="s">
        <v>16</v>
      </c>
      <c r="I149" t="s">
        <v>231</v>
      </c>
      <c r="J149">
        <v>3</v>
      </c>
      <c r="M149" t="s">
        <v>180</v>
      </c>
      <c r="N149" t="s">
        <v>19</v>
      </c>
      <c r="O149">
        <v>146</v>
      </c>
      <c r="Q149">
        <v>120</v>
      </c>
      <c r="AA149" t="s">
        <v>193</v>
      </c>
    </row>
    <row r="150" spans="1:27" x14ac:dyDescent="0.35">
      <c r="B150" s="2">
        <v>45978</v>
      </c>
      <c r="C150" t="s">
        <v>171</v>
      </c>
      <c r="E150" t="s">
        <v>172</v>
      </c>
      <c r="F150">
        <v>73</v>
      </c>
      <c r="G150" s="3" t="s">
        <v>173</v>
      </c>
      <c r="H150" t="s">
        <v>16</v>
      </c>
      <c r="I150" t="s">
        <v>231</v>
      </c>
      <c r="J150">
        <v>4</v>
      </c>
      <c r="M150" t="s">
        <v>180</v>
      </c>
      <c r="N150" t="s">
        <v>20</v>
      </c>
      <c r="O150">
        <v>147</v>
      </c>
      <c r="Q150">
        <v>123</v>
      </c>
      <c r="AA150" t="s">
        <v>193</v>
      </c>
    </row>
    <row r="151" spans="1:27" x14ac:dyDescent="0.35">
      <c r="B151" s="2">
        <v>45978</v>
      </c>
      <c r="C151" t="s">
        <v>171</v>
      </c>
      <c r="E151" t="s">
        <v>172</v>
      </c>
      <c r="F151">
        <v>72</v>
      </c>
      <c r="G151" s="3" t="s">
        <v>173</v>
      </c>
      <c r="H151" t="s">
        <v>16</v>
      </c>
      <c r="I151" t="s">
        <v>231</v>
      </c>
      <c r="J151">
        <v>5</v>
      </c>
      <c r="M151" t="s">
        <v>180</v>
      </c>
      <c r="N151" t="s">
        <v>21</v>
      </c>
      <c r="O151">
        <v>148</v>
      </c>
      <c r="Q151">
        <v>125</v>
      </c>
      <c r="AA151" t="s">
        <v>193</v>
      </c>
    </row>
    <row r="152" spans="1:27" x14ac:dyDescent="0.35">
      <c r="B152" s="2">
        <v>45978</v>
      </c>
      <c r="C152" t="s">
        <v>171</v>
      </c>
      <c r="E152" t="s">
        <v>172</v>
      </c>
      <c r="F152">
        <v>77</v>
      </c>
      <c r="G152" s="3" t="s">
        <v>174</v>
      </c>
      <c r="H152" t="s">
        <v>16</v>
      </c>
      <c r="I152" t="s">
        <v>231</v>
      </c>
      <c r="J152">
        <v>6</v>
      </c>
      <c r="M152" t="s">
        <v>180</v>
      </c>
      <c r="N152" t="s">
        <v>22</v>
      </c>
      <c r="O152">
        <v>149</v>
      </c>
      <c r="Q152">
        <v>127</v>
      </c>
      <c r="AA152" t="s">
        <v>193</v>
      </c>
    </row>
    <row r="153" spans="1:27" x14ac:dyDescent="0.35">
      <c r="B153" s="2">
        <v>45978</v>
      </c>
      <c r="C153" t="s">
        <v>171</v>
      </c>
      <c r="E153" t="s">
        <v>172</v>
      </c>
      <c r="F153">
        <v>73</v>
      </c>
      <c r="G153" s="3" t="s">
        <v>174</v>
      </c>
      <c r="H153" t="s">
        <v>16</v>
      </c>
      <c r="I153" t="s">
        <v>231</v>
      </c>
      <c r="J153">
        <v>7</v>
      </c>
      <c r="M153" t="s">
        <v>180</v>
      </c>
      <c r="N153" t="s">
        <v>23</v>
      </c>
      <c r="O153">
        <v>150</v>
      </c>
      <c r="Q153">
        <v>129</v>
      </c>
      <c r="AA153" t="s">
        <v>193</v>
      </c>
    </row>
    <row r="154" spans="1:27" x14ac:dyDescent="0.35">
      <c r="B154" s="2">
        <v>45978</v>
      </c>
      <c r="C154" t="s">
        <v>171</v>
      </c>
      <c r="E154" t="s">
        <v>172</v>
      </c>
      <c r="F154">
        <v>67</v>
      </c>
      <c r="G154" s="3" t="s">
        <v>174</v>
      </c>
      <c r="H154" t="s">
        <v>16</v>
      </c>
      <c r="I154" t="s">
        <v>231</v>
      </c>
      <c r="J154">
        <v>8</v>
      </c>
      <c r="M154" t="s">
        <v>180</v>
      </c>
      <c r="N154" t="s">
        <v>24</v>
      </c>
      <c r="O154">
        <v>151</v>
      </c>
      <c r="Q154">
        <v>131</v>
      </c>
      <c r="AA154" t="s">
        <v>193</v>
      </c>
    </row>
    <row r="155" spans="1:27" x14ac:dyDescent="0.35">
      <c r="B155" s="2">
        <v>45978</v>
      </c>
      <c r="C155" t="s">
        <v>171</v>
      </c>
      <c r="E155" t="s">
        <v>172</v>
      </c>
      <c r="F155">
        <v>64</v>
      </c>
      <c r="G155" s="3" t="s">
        <v>174</v>
      </c>
      <c r="H155" t="s">
        <v>16</v>
      </c>
      <c r="I155" t="s">
        <v>231</v>
      </c>
      <c r="J155">
        <v>9</v>
      </c>
      <c r="M155" t="s">
        <v>180</v>
      </c>
      <c r="N155" t="s">
        <v>25</v>
      </c>
      <c r="O155">
        <v>152</v>
      </c>
      <c r="Q155">
        <v>134</v>
      </c>
      <c r="AA155" t="s">
        <v>193</v>
      </c>
    </row>
    <row r="156" spans="1:27" x14ac:dyDescent="0.35">
      <c r="B156" s="2">
        <v>45978</v>
      </c>
      <c r="C156" t="s">
        <v>171</v>
      </c>
      <c r="E156" t="s">
        <v>172</v>
      </c>
      <c r="F156">
        <v>81</v>
      </c>
      <c r="G156" s="3" t="s">
        <v>174</v>
      </c>
      <c r="H156" t="s">
        <v>16</v>
      </c>
      <c r="I156" t="s">
        <v>231</v>
      </c>
      <c r="J156">
        <v>10</v>
      </c>
      <c r="M156" t="s">
        <v>180</v>
      </c>
      <c r="N156" t="s">
        <v>26</v>
      </c>
      <c r="O156">
        <v>153</v>
      </c>
      <c r="Q156">
        <v>137</v>
      </c>
      <c r="AA156" t="s">
        <v>181</v>
      </c>
    </row>
    <row r="157" spans="1:27" x14ac:dyDescent="0.35">
      <c r="B157" s="2">
        <v>45978</v>
      </c>
      <c r="C157" t="s">
        <v>171</v>
      </c>
      <c r="E157" t="s">
        <v>172</v>
      </c>
      <c r="F157">
        <v>75</v>
      </c>
      <c r="G157" s="3" t="s">
        <v>173</v>
      </c>
      <c r="H157" t="s">
        <v>16</v>
      </c>
      <c r="I157" t="s">
        <v>231</v>
      </c>
      <c r="J157">
        <v>11</v>
      </c>
      <c r="M157" t="s">
        <v>180</v>
      </c>
      <c r="N157" t="s">
        <v>27</v>
      </c>
      <c r="O157">
        <v>154</v>
      </c>
      <c r="Q157">
        <v>136</v>
      </c>
      <c r="AA157" t="s">
        <v>181</v>
      </c>
    </row>
    <row r="158" spans="1:27" x14ac:dyDescent="0.35">
      <c r="B158" s="2">
        <v>45978</v>
      </c>
      <c r="C158" t="s">
        <v>171</v>
      </c>
      <c r="E158" t="s">
        <v>172</v>
      </c>
      <c r="F158">
        <v>70</v>
      </c>
      <c r="G158" s="3" t="s">
        <v>173</v>
      </c>
      <c r="H158" t="s">
        <v>16</v>
      </c>
      <c r="I158" t="s">
        <v>231</v>
      </c>
      <c r="J158">
        <v>12</v>
      </c>
      <c r="M158" t="s">
        <v>180</v>
      </c>
      <c r="N158" t="s">
        <v>28</v>
      </c>
      <c r="O158">
        <v>155</v>
      </c>
      <c r="Q158">
        <v>140</v>
      </c>
      <c r="AA158" t="s">
        <v>181</v>
      </c>
    </row>
    <row r="159" spans="1:27" x14ac:dyDescent="0.35">
      <c r="B159" s="2">
        <v>45978</v>
      </c>
      <c r="C159" t="s">
        <v>171</v>
      </c>
      <c r="E159" t="s">
        <v>172</v>
      </c>
      <c r="F159">
        <v>72</v>
      </c>
      <c r="G159" s="3" t="s">
        <v>174</v>
      </c>
      <c r="H159" t="s">
        <v>16</v>
      </c>
      <c r="I159" t="s">
        <v>231</v>
      </c>
      <c r="J159">
        <v>13</v>
      </c>
      <c r="M159" t="s">
        <v>180</v>
      </c>
      <c r="N159" t="s">
        <v>29</v>
      </c>
      <c r="O159">
        <v>156</v>
      </c>
      <c r="Q159">
        <v>141</v>
      </c>
      <c r="AA159" t="s">
        <v>181</v>
      </c>
    </row>
    <row r="160" spans="1:27" x14ac:dyDescent="0.35">
      <c r="B160" s="2">
        <v>45978</v>
      </c>
      <c r="C160" t="s">
        <v>171</v>
      </c>
      <c r="E160" t="s">
        <v>172</v>
      </c>
      <c r="F160">
        <v>67</v>
      </c>
      <c r="G160" s="3" t="s">
        <v>174</v>
      </c>
      <c r="H160" t="s">
        <v>16</v>
      </c>
      <c r="I160" t="s">
        <v>231</v>
      </c>
      <c r="J160">
        <v>14</v>
      </c>
      <c r="M160" t="s">
        <v>180</v>
      </c>
      <c r="N160" t="s">
        <v>30</v>
      </c>
      <c r="O160">
        <v>157</v>
      </c>
      <c r="Q160">
        <v>143</v>
      </c>
      <c r="AA160" t="s">
        <v>181</v>
      </c>
    </row>
    <row r="161" spans="2:27" x14ac:dyDescent="0.35">
      <c r="B161" s="2">
        <v>45978</v>
      </c>
      <c r="C161" t="s">
        <v>171</v>
      </c>
      <c r="E161" t="s">
        <v>172</v>
      </c>
      <c r="F161">
        <v>73</v>
      </c>
      <c r="G161" s="3" t="s">
        <v>174</v>
      </c>
      <c r="H161" t="s">
        <v>16</v>
      </c>
      <c r="I161" t="s">
        <v>231</v>
      </c>
      <c r="J161">
        <v>15</v>
      </c>
      <c r="M161" t="s">
        <v>180</v>
      </c>
      <c r="N161" t="s">
        <v>31</v>
      </c>
      <c r="O161">
        <v>158</v>
      </c>
      <c r="Q161">
        <v>145</v>
      </c>
      <c r="AA161" t="s">
        <v>181</v>
      </c>
    </row>
    <row r="162" spans="2:27" x14ac:dyDescent="0.35">
      <c r="B162" s="2">
        <v>45978</v>
      </c>
      <c r="C162" t="s">
        <v>171</v>
      </c>
      <c r="E162" t="s">
        <v>172</v>
      </c>
      <c r="F162">
        <v>65</v>
      </c>
      <c r="G162" s="3" t="s">
        <v>174</v>
      </c>
      <c r="H162" t="s">
        <v>16</v>
      </c>
      <c r="I162" t="s">
        <v>231</v>
      </c>
      <c r="J162">
        <v>16</v>
      </c>
      <c r="M162" t="s">
        <v>180</v>
      </c>
      <c r="N162" t="s">
        <v>32</v>
      </c>
      <c r="O162">
        <v>159</v>
      </c>
      <c r="Q162">
        <v>147</v>
      </c>
      <c r="AA162" t="s">
        <v>181</v>
      </c>
    </row>
    <row r="163" spans="2:27" x14ac:dyDescent="0.35">
      <c r="B163" s="2">
        <v>45978</v>
      </c>
      <c r="C163" t="s">
        <v>171</v>
      </c>
      <c r="E163" t="s">
        <v>172</v>
      </c>
      <c r="F163">
        <v>76</v>
      </c>
      <c r="G163" s="3" t="s">
        <v>174</v>
      </c>
      <c r="H163" t="s">
        <v>16</v>
      </c>
      <c r="I163" t="s">
        <v>231</v>
      </c>
      <c r="J163">
        <v>17</v>
      </c>
      <c r="M163" t="s">
        <v>180</v>
      </c>
      <c r="N163" t="s">
        <v>33</v>
      </c>
      <c r="O163">
        <v>160</v>
      </c>
      <c r="Q163">
        <v>149</v>
      </c>
      <c r="AA163" t="s">
        <v>181</v>
      </c>
    </row>
    <row r="164" spans="2:27" x14ac:dyDescent="0.35">
      <c r="B164" s="2">
        <v>45978</v>
      </c>
      <c r="C164" t="s">
        <v>171</v>
      </c>
      <c r="E164" t="s">
        <v>172</v>
      </c>
      <c r="F164">
        <v>68</v>
      </c>
      <c r="G164" s="3" t="s">
        <v>174</v>
      </c>
      <c r="H164" t="s">
        <v>16</v>
      </c>
      <c r="I164" t="s">
        <v>231</v>
      </c>
      <c r="J164">
        <v>18</v>
      </c>
      <c r="M164" t="s">
        <v>180</v>
      </c>
      <c r="N164" t="s">
        <v>34</v>
      </c>
      <c r="O164">
        <v>161</v>
      </c>
      <c r="Q164">
        <v>150</v>
      </c>
      <c r="AA164" t="s">
        <v>181</v>
      </c>
    </row>
    <row r="165" spans="2:27" x14ac:dyDescent="0.35">
      <c r="B165" s="2">
        <v>45978</v>
      </c>
      <c r="C165" t="s">
        <v>171</v>
      </c>
      <c r="E165" t="s">
        <v>172</v>
      </c>
      <c r="F165">
        <v>73</v>
      </c>
      <c r="G165" s="3" t="s">
        <v>174</v>
      </c>
      <c r="H165" t="s">
        <v>16</v>
      </c>
      <c r="I165" t="s">
        <v>231</v>
      </c>
      <c r="J165">
        <v>19</v>
      </c>
      <c r="M165" t="s">
        <v>180</v>
      </c>
      <c r="N165" t="s">
        <v>35</v>
      </c>
      <c r="O165">
        <v>162</v>
      </c>
      <c r="Q165" t="s">
        <v>192</v>
      </c>
      <c r="AA165" t="s">
        <v>181</v>
      </c>
    </row>
    <row r="166" spans="2:27" x14ac:dyDescent="0.35">
      <c r="B166" s="2">
        <v>45978</v>
      </c>
      <c r="C166" t="s">
        <v>171</v>
      </c>
      <c r="E166" t="s">
        <v>172</v>
      </c>
      <c r="F166">
        <v>78</v>
      </c>
      <c r="G166" s="3" t="s">
        <v>173</v>
      </c>
      <c r="H166" t="s">
        <v>16</v>
      </c>
      <c r="I166" t="s">
        <v>231</v>
      </c>
      <c r="J166">
        <v>20</v>
      </c>
      <c r="M166" t="s">
        <v>180</v>
      </c>
      <c r="N166" t="s">
        <v>36</v>
      </c>
      <c r="O166">
        <v>163</v>
      </c>
      <c r="Q166">
        <v>152</v>
      </c>
      <c r="AA166" t="s">
        <v>181</v>
      </c>
    </row>
    <row r="167" spans="2:27" x14ac:dyDescent="0.35">
      <c r="B167" s="2">
        <v>45978</v>
      </c>
      <c r="C167" t="s">
        <v>171</v>
      </c>
      <c r="E167" t="s">
        <v>172</v>
      </c>
      <c r="F167">
        <v>76</v>
      </c>
      <c r="G167" s="3" t="s">
        <v>173</v>
      </c>
      <c r="H167" t="s">
        <v>49</v>
      </c>
      <c r="I167" t="s">
        <v>232</v>
      </c>
      <c r="J167">
        <v>1</v>
      </c>
      <c r="M167" t="s">
        <v>180</v>
      </c>
      <c r="N167" t="s">
        <v>37</v>
      </c>
      <c r="O167">
        <v>164</v>
      </c>
      <c r="Q167">
        <v>156</v>
      </c>
      <c r="AA167" t="s">
        <v>181</v>
      </c>
    </row>
    <row r="168" spans="2:27" x14ac:dyDescent="0.35">
      <c r="B168" s="2">
        <v>45978</v>
      </c>
      <c r="C168" t="s">
        <v>171</v>
      </c>
      <c r="E168" t="s">
        <v>172</v>
      </c>
      <c r="F168">
        <v>80</v>
      </c>
      <c r="G168" s="3" t="s">
        <v>173</v>
      </c>
      <c r="H168" t="s">
        <v>49</v>
      </c>
      <c r="I168" t="s">
        <v>232</v>
      </c>
      <c r="J168">
        <v>2</v>
      </c>
      <c r="M168" t="s">
        <v>180</v>
      </c>
      <c r="N168" t="s">
        <v>38</v>
      </c>
      <c r="O168">
        <v>165</v>
      </c>
      <c r="Q168">
        <v>158</v>
      </c>
      <c r="AA168" t="s">
        <v>181</v>
      </c>
    </row>
    <row r="169" spans="2:27" x14ac:dyDescent="0.35">
      <c r="B169" s="2">
        <v>45978</v>
      </c>
      <c r="C169" t="s">
        <v>171</v>
      </c>
      <c r="E169" t="s">
        <v>172</v>
      </c>
      <c r="F169">
        <v>74</v>
      </c>
      <c r="G169" s="3" t="s">
        <v>173</v>
      </c>
      <c r="H169" t="s">
        <v>49</v>
      </c>
      <c r="I169" t="s">
        <v>232</v>
      </c>
      <c r="J169">
        <v>3</v>
      </c>
      <c r="M169" t="s">
        <v>180</v>
      </c>
      <c r="N169" t="s">
        <v>39</v>
      </c>
      <c r="O169">
        <v>166</v>
      </c>
      <c r="Q169">
        <v>159</v>
      </c>
      <c r="AA169" t="s">
        <v>181</v>
      </c>
    </row>
    <row r="170" spans="2:27" x14ac:dyDescent="0.35">
      <c r="B170" s="2">
        <v>45978</v>
      </c>
      <c r="C170" t="s">
        <v>171</v>
      </c>
      <c r="E170" t="s">
        <v>172</v>
      </c>
      <c r="F170">
        <v>72</v>
      </c>
      <c r="G170" s="3" t="s">
        <v>173</v>
      </c>
      <c r="H170" t="s">
        <v>49</v>
      </c>
      <c r="I170" t="s">
        <v>232</v>
      </c>
      <c r="J170">
        <v>4</v>
      </c>
      <c r="M170" t="s">
        <v>180</v>
      </c>
      <c r="N170" t="s">
        <v>41</v>
      </c>
      <c r="O170">
        <v>167</v>
      </c>
      <c r="Q170">
        <v>160</v>
      </c>
      <c r="AA170" t="s">
        <v>181</v>
      </c>
    </row>
    <row r="171" spans="2:27" x14ac:dyDescent="0.35">
      <c r="B171" s="2">
        <v>45978</v>
      </c>
      <c r="C171" t="s">
        <v>171</v>
      </c>
      <c r="E171" t="s">
        <v>172</v>
      </c>
      <c r="F171">
        <v>75</v>
      </c>
      <c r="G171" s="3" t="s">
        <v>173</v>
      </c>
      <c r="H171" t="s">
        <v>49</v>
      </c>
      <c r="I171" t="s">
        <v>232</v>
      </c>
      <c r="J171">
        <v>5</v>
      </c>
      <c r="M171" t="s">
        <v>180</v>
      </c>
      <c r="N171" t="s">
        <v>42</v>
      </c>
      <c r="O171">
        <v>168</v>
      </c>
      <c r="Q171">
        <v>163</v>
      </c>
      <c r="AA171" t="s">
        <v>181</v>
      </c>
    </row>
    <row r="172" spans="2:27" x14ac:dyDescent="0.35">
      <c r="B172" s="2">
        <v>45978</v>
      </c>
      <c r="C172" t="s">
        <v>171</v>
      </c>
      <c r="E172" t="s">
        <v>172</v>
      </c>
      <c r="F172">
        <v>70</v>
      </c>
      <c r="G172" s="3" t="s">
        <v>173</v>
      </c>
      <c r="H172" t="s">
        <v>49</v>
      </c>
      <c r="I172" t="s">
        <v>232</v>
      </c>
      <c r="J172">
        <v>6</v>
      </c>
      <c r="M172" t="s">
        <v>180</v>
      </c>
      <c r="N172" t="s">
        <v>43</v>
      </c>
      <c r="O172">
        <v>169</v>
      </c>
      <c r="Q172">
        <v>164</v>
      </c>
      <c r="AA172" t="s">
        <v>181</v>
      </c>
    </row>
    <row r="173" spans="2:27" x14ac:dyDescent="0.35">
      <c r="B173" s="2">
        <v>45978</v>
      </c>
      <c r="C173" t="s">
        <v>171</v>
      </c>
      <c r="E173" t="s">
        <v>172</v>
      </c>
      <c r="F173">
        <v>68</v>
      </c>
      <c r="G173" s="3" t="s">
        <v>173</v>
      </c>
      <c r="H173" t="s">
        <v>49</v>
      </c>
      <c r="I173" t="s">
        <v>232</v>
      </c>
      <c r="J173">
        <v>7</v>
      </c>
      <c r="M173" t="s">
        <v>180</v>
      </c>
      <c r="N173" t="s">
        <v>44</v>
      </c>
      <c r="O173">
        <v>170</v>
      </c>
      <c r="Q173">
        <v>166</v>
      </c>
      <c r="AA173" t="s">
        <v>181</v>
      </c>
    </row>
    <row r="174" spans="2:27" x14ac:dyDescent="0.35">
      <c r="B174" s="2">
        <v>45979</v>
      </c>
      <c r="C174" t="s">
        <v>171</v>
      </c>
      <c r="E174" t="s">
        <v>172</v>
      </c>
      <c r="F174">
        <v>87</v>
      </c>
      <c r="G174" s="3" t="s">
        <v>173</v>
      </c>
      <c r="H174" t="s">
        <v>16</v>
      </c>
      <c r="I174" t="s">
        <v>234</v>
      </c>
      <c r="J174">
        <v>1</v>
      </c>
      <c r="M174" t="s">
        <v>180</v>
      </c>
      <c r="N174" t="s">
        <v>17</v>
      </c>
      <c r="O174">
        <v>171</v>
      </c>
      <c r="Q174">
        <v>168</v>
      </c>
      <c r="AA174" t="s">
        <v>191</v>
      </c>
    </row>
    <row r="175" spans="2:27" x14ac:dyDescent="0.35">
      <c r="B175" s="2">
        <v>45979</v>
      </c>
      <c r="C175" t="s">
        <v>171</v>
      </c>
      <c r="E175" t="s">
        <v>172</v>
      </c>
      <c r="F175">
        <v>76</v>
      </c>
      <c r="G175" s="3" t="s">
        <v>173</v>
      </c>
      <c r="H175" t="s">
        <v>16</v>
      </c>
      <c r="I175" t="s">
        <v>234</v>
      </c>
      <c r="J175">
        <v>2</v>
      </c>
      <c r="M175" t="s">
        <v>180</v>
      </c>
      <c r="N175" t="s">
        <v>18</v>
      </c>
      <c r="O175">
        <v>172</v>
      </c>
      <c r="Q175">
        <v>169</v>
      </c>
      <c r="AA175" t="s">
        <v>191</v>
      </c>
    </row>
    <row r="176" spans="2:27" x14ac:dyDescent="0.35">
      <c r="B176" s="2">
        <v>45979</v>
      </c>
      <c r="C176" t="s">
        <v>171</v>
      </c>
      <c r="E176" t="s">
        <v>172</v>
      </c>
      <c r="F176">
        <v>79</v>
      </c>
      <c r="G176" s="3" t="s">
        <v>173</v>
      </c>
      <c r="H176" t="s">
        <v>16</v>
      </c>
      <c r="I176" t="s">
        <v>234</v>
      </c>
      <c r="J176">
        <v>3</v>
      </c>
      <c r="M176" t="s">
        <v>180</v>
      </c>
      <c r="N176" t="s">
        <v>19</v>
      </c>
      <c r="O176">
        <v>173</v>
      </c>
      <c r="Q176">
        <v>170</v>
      </c>
      <c r="AA176" t="s">
        <v>191</v>
      </c>
    </row>
    <row r="177" spans="2:27" x14ac:dyDescent="0.35">
      <c r="B177" s="2">
        <v>45979</v>
      </c>
      <c r="C177" t="s">
        <v>171</v>
      </c>
      <c r="E177" t="s">
        <v>172</v>
      </c>
      <c r="F177">
        <v>80</v>
      </c>
      <c r="G177" s="3" t="s">
        <v>173</v>
      </c>
      <c r="H177" t="s">
        <v>16</v>
      </c>
      <c r="I177" t="s">
        <v>234</v>
      </c>
      <c r="J177">
        <v>4</v>
      </c>
      <c r="M177" t="s">
        <v>180</v>
      </c>
      <c r="N177" t="s">
        <v>20</v>
      </c>
      <c r="O177">
        <v>174</v>
      </c>
      <c r="Q177">
        <v>171</v>
      </c>
      <c r="AA177" t="s">
        <v>191</v>
      </c>
    </row>
    <row r="178" spans="2:27" x14ac:dyDescent="0.35">
      <c r="B178" s="2">
        <v>45979</v>
      </c>
      <c r="C178" t="s">
        <v>171</v>
      </c>
      <c r="E178" t="s">
        <v>172</v>
      </c>
      <c r="F178">
        <v>70</v>
      </c>
      <c r="G178" s="3" t="s">
        <v>173</v>
      </c>
      <c r="H178" t="s">
        <v>16</v>
      </c>
      <c r="I178" t="s">
        <v>234</v>
      </c>
      <c r="J178">
        <v>5</v>
      </c>
      <c r="M178" t="s">
        <v>180</v>
      </c>
      <c r="N178" t="s">
        <v>21</v>
      </c>
      <c r="O178">
        <v>175</v>
      </c>
      <c r="Q178">
        <v>172</v>
      </c>
      <c r="AA178" t="s">
        <v>191</v>
      </c>
    </row>
    <row r="179" spans="2:27" x14ac:dyDescent="0.35">
      <c r="B179" s="2">
        <v>45979</v>
      </c>
      <c r="C179" t="s">
        <v>171</v>
      </c>
      <c r="E179" t="s">
        <v>172</v>
      </c>
      <c r="F179">
        <v>70</v>
      </c>
      <c r="G179" s="3" t="s">
        <v>173</v>
      </c>
      <c r="H179" t="s">
        <v>16</v>
      </c>
      <c r="I179" t="s">
        <v>234</v>
      </c>
      <c r="J179">
        <v>6</v>
      </c>
      <c r="M179" t="s">
        <v>180</v>
      </c>
      <c r="N179" t="s">
        <v>22</v>
      </c>
      <c r="O179">
        <v>176</v>
      </c>
      <c r="Q179">
        <v>173</v>
      </c>
      <c r="AA179" t="s">
        <v>191</v>
      </c>
    </row>
    <row r="180" spans="2:27" x14ac:dyDescent="0.35">
      <c r="B180" s="2">
        <v>45979</v>
      </c>
      <c r="C180" t="s">
        <v>171</v>
      </c>
      <c r="E180" t="s">
        <v>172</v>
      </c>
      <c r="F180">
        <v>66</v>
      </c>
      <c r="G180" s="3" t="s">
        <v>173</v>
      </c>
      <c r="H180" t="s">
        <v>16</v>
      </c>
      <c r="I180" t="s">
        <v>234</v>
      </c>
      <c r="J180">
        <v>7</v>
      </c>
      <c r="M180" t="s">
        <v>180</v>
      </c>
      <c r="N180" t="s">
        <v>23</v>
      </c>
      <c r="O180">
        <v>177</v>
      </c>
      <c r="Q180">
        <v>174</v>
      </c>
      <c r="AA180" t="s">
        <v>191</v>
      </c>
    </row>
    <row r="181" spans="2:27" x14ac:dyDescent="0.35">
      <c r="B181" s="2">
        <v>45979</v>
      </c>
      <c r="C181" t="s">
        <v>171</v>
      </c>
      <c r="E181" t="s">
        <v>172</v>
      </c>
      <c r="F181">
        <v>70</v>
      </c>
      <c r="G181" s="3" t="s">
        <v>173</v>
      </c>
      <c r="H181" t="s">
        <v>16</v>
      </c>
      <c r="I181" t="s">
        <v>234</v>
      </c>
      <c r="J181">
        <v>8</v>
      </c>
      <c r="M181" t="s">
        <v>180</v>
      </c>
      <c r="N181" t="s">
        <v>24</v>
      </c>
      <c r="O181">
        <v>178</v>
      </c>
      <c r="Q181">
        <v>175</v>
      </c>
      <c r="AA181" t="s">
        <v>191</v>
      </c>
    </row>
    <row r="182" spans="2:27" x14ac:dyDescent="0.35">
      <c r="B182" s="2">
        <v>45979</v>
      </c>
      <c r="C182" t="s">
        <v>171</v>
      </c>
      <c r="E182" t="s">
        <v>172</v>
      </c>
      <c r="F182">
        <v>72</v>
      </c>
      <c r="G182" s="3" t="s">
        <v>174</v>
      </c>
      <c r="H182" t="s">
        <v>16</v>
      </c>
      <c r="I182" t="s">
        <v>234</v>
      </c>
      <c r="J182">
        <v>9</v>
      </c>
      <c r="M182" t="s">
        <v>180</v>
      </c>
      <c r="N182" t="s">
        <v>25</v>
      </c>
      <c r="O182">
        <v>179</v>
      </c>
      <c r="Q182">
        <v>176</v>
      </c>
      <c r="AA182" t="s">
        <v>191</v>
      </c>
    </row>
    <row r="183" spans="2:27" x14ac:dyDescent="0.35">
      <c r="B183" s="2">
        <v>45979</v>
      </c>
      <c r="C183" t="s">
        <v>171</v>
      </c>
      <c r="E183" t="s">
        <v>172</v>
      </c>
      <c r="F183">
        <v>77</v>
      </c>
      <c r="G183" s="3" t="s">
        <v>174</v>
      </c>
      <c r="H183" t="s">
        <v>16</v>
      </c>
      <c r="I183" t="s">
        <v>234</v>
      </c>
      <c r="J183">
        <v>10</v>
      </c>
      <c r="M183" t="s">
        <v>180</v>
      </c>
      <c r="N183" t="s">
        <v>26</v>
      </c>
      <c r="O183">
        <v>180</v>
      </c>
      <c r="Q183">
        <v>177</v>
      </c>
      <c r="AA183" t="s">
        <v>191</v>
      </c>
    </row>
    <row r="184" spans="2:27" x14ac:dyDescent="0.35">
      <c r="B184" s="2">
        <v>45979</v>
      </c>
      <c r="C184" t="s">
        <v>171</v>
      </c>
      <c r="E184" t="s">
        <v>172</v>
      </c>
      <c r="F184">
        <v>75</v>
      </c>
      <c r="G184" s="3" t="s">
        <v>174</v>
      </c>
      <c r="H184" t="s">
        <v>16</v>
      </c>
      <c r="I184" t="s">
        <v>234</v>
      </c>
      <c r="J184">
        <v>11</v>
      </c>
      <c r="M184" t="s">
        <v>180</v>
      </c>
      <c r="N184" t="s">
        <v>27</v>
      </c>
      <c r="O184">
        <v>181</v>
      </c>
      <c r="Q184">
        <v>178</v>
      </c>
      <c r="AA184" t="s">
        <v>191</v>
      </c>
    </row>
    <row r="185" spans="2:27" x14ac:dyDescent="0.35">
      <c r="B185" s="2">
        <v>45979</v>
      </c>
      <c r="C185" t="s">
        <v>171</v>
      </c>
      <c r="E185" t="s">
        <v>172</v>
      </c>
      <c r="F185">
        <v>67</v>
      </c>
      <c r="G185" s="3" t="s">
        <v>174</v>
      </c>
      <c r="H185" t="s">
        <v>16</v>
      </c>
      <c r="I185" t="s">
        <v>234</v>
      </c>
      <c r="J185">
        <v>12</v>
      </c>
      <c r="M185" t="s">
        <v>180</v>
      </c>
      <c r="N185" t="s">
        <v>28</v>
      </c>
      <c r="O185">
        <v>182</v>
      </c>
      <c r="Q185">
        <v>179</v>
      </c>
      <c r="AA185" t="s">
        <v>191</v>
      </c>
    </row>
    <row r="186" spans="2:27" x14ac:dyDescent="0.35">
      <c r="B186" s="2">
        <v>45979</v>
      </c>
      <c r="C186" t="s">
        <v>171</v>
      </c>
      <c r="E186" t="s">
        <v>172</v>
      </c>
      <c r="F186">
        <v>68</v>
      </c>
      <c r="G186" s="3" t="s">
        <v>174</v>
      </c>
      <c r="H186" t="s">
        <v>16</v>
      </c>
      <c r="I186" t="s">
        <v>234</v>
      </c>
      <c r="J186">
        <v>13</v>
      </c>
      <c r="M186" t="s">
        <v>180</v>
      </c>
      <c r="N186" t="s">
        <v>29</v>
      </c>
      <c r="O186">
        <v>183</v>
      </c>
      <c r="Q186">
        <v>180</v>
      </c>
      <c r="AA186" t="s">
        <v>191</v>
      </c>
    </row>
    <row r="187" spans="2:27" x14ac:dyDescent="0.35">
      <c r="B187" s="2">
        <v>45979</v>
      </c>
      <c r="C187" t="s">
        <v>171</v>
      </c>
      <c r="E187" t="s">
        <v>172</v>
      </c>
      <c r="F187">
        <v>71</v>
      </c>
      <c r="G187" s="3" t="s">
        <v>174</v>
      </c>
      <c r="H187" t="s">
        <v>16</v>
      </c>
      <c r="I187" t="s">
        <v>234</v>
      </c>
      <c r="J187">
        <v>14</v>
      </c>
      <c r="M187" t="s">
        <v>180</v>
      </c>
      <c r="N187" t="s">
        <v>30</v>
      </c>
      <c r="O187">
        <v>184</v>
      </c>
      <c r="Q187">
        <v>181</v>
      </c>
      <c r="AA187" t="s">
        <v>191</v>
      </c>
    </row>
    <row r="188" spans="2:27" x14ac:dyDescent="0.35">
      <c r="B188" s="2">
        <v>45979</v>
      </c>
      <c r="C188" t="s">
        <v>171</v>
      </c>
      <c r="E188" t="s">
        <v>172</v>
      </c>
      <c r="F188">
        <v>76</v>
      </c>
      <c r="G188" s="3" t="s">
        <v>174</v>
      </c>
      <c r="H188" t="s">
        <v>16</v>
      </c>
      <c r="I188" t="s">
        <v>234</v>
      </c>
      <c r="J188">
        <v>15</v>
      </c>
      <c r="M188" t="s">
        <v>180</v>
      </c>
      <c r="N188" t="s">
        <v>31</v>
      </c>
      <c r="O188">
        <v>185</v>
      </c>
      <c r="Q188">
        <v>182</v>
      </c>
      <c r="AA188" t="s">
        <v>191</v>
      </c>
    </row>
    <row r="189" spans="2:27" x14ac:dyDescent="0.35">
      <c r="B189" s="2">
        <v>45979</v>
      </c>
      <c r="C189" t="s">
        <v>171</v>
      </c>
      <c r="E189" t="s">
        <v>172</v>
      </c>
      <c r="F189">
        <v>66</v>
      </c>
      <c r="G189" s="3" t="s">
        <v>174</v>
      </c>
      <c r="H189" t="s">
        <v>16</v>
      </c>
      <c r="I189" t="s">
        <v>234</v>
      </c>
      <c r="J189">
        <v>16</v>
      </c>
      <c r="M189" t="s">
        <v>180</v>
      </c>
      <c r="N189" t="s">
        <v>32</v>
      </c>
      <c r="O189">
        <v>186</v>
      </c>
      <c r="Q189">
        <v>183</v>
      </c>
      <c r="AA189" t="s">
        <v>191</v>
      </c>
    </row>
    <row r="190" spans="2:27" x14ac:dyDescent="0.35">
      <c r="B190" s="2">
        <v>45980</v>
      </c>
      <c r="C190" t="s">
        <v>171</v>
      </c>
      <c r="E190" t="s">
        <v>172</v>
      </c>
      <c r="F190">
        <v>73</v>
      </c>
      <c r="G190" s="3" t="s">
        <v>174</v>
      </c>
      <c r="H190" t="s">
        <v>16</v>
      </c>
      <c r="I190" t="s">
        <v>188</v>
      </c>
      <c r="J190">
        <v>1</v>
      </c>
      <c r="M190" t="s">
        <v>180</v>
      </c>
      <c r="N190" t="s">
        <v>17</v>
      </c>
      <c r="O190">
        <v>187</v>
      </c>
      <c r="Q190">
        <v>184</v>
      </c>
      <c r="AA190" t="s">
        <v>191</v>
      </c>
    </row>
    <row r="191" spans="2:27" x14ac:dyDescent="0.35">
      <c r="B191" s="2">
        <v>45980</v>
      </c>
      <c r="C191" t="s">
        <v>171</v>
      </c>
      <c r="E191" t="s">
        <v>172</v>
      </c>
      <c r="F191">
        <v>69</v>
      </c>
      <c r="G191" s="3" t="s">
        <v>174</v>
      </c>
      <c r="H191" t="s">
        <v>16</v>
      </c>
      <c r="I191" t="s">
        <v>188</v>
      </c>
      <c r="J191">
        <v>2</v>
      </c>
      <c r="M191" t="s">
        <v>180</v>
      </c>
      <c r="N191" t="s">
        <v>18</v>
      </c>
      <c r="O191">
        <v>188</v>
      </c>
      <c r="Q191">
        <v>185</v>
      </c>
      <c r="AA191" t="s">
        <v>191</v>
      </c>
    </row>
    <row r="192" spans="2:27" x14ac:dyDescent="0.35">
      <c r="B192" s="2">
        <v>45980</v>
      </c>
      <c r="C192" t="s">
        <v>171</v>
      </c>
      <c r="E192" t="s">
        <v>172</v>
      </c>
      <c r="F192">
        <v>68</v>
      </c>
      <c r="G192" s="3" t="s">
        <v>174</v>
      </c>
      <c r="H192" t="s">
        <v>16</v>
      </c>
      <c r="I192" t="s">
        <v>188</v>
      </c>
      <c r="J192">
        <v>3</v>
      </c>
      <c r="M192" t="s">
        <v>180</v>
      </c>
      <c r="N192" t="s">
        <v>19</v>
      </c>
      <c r="O192">
        <v>189</v>
      </c>
      <c r="Q192">
        <v>186</v>
      </c>
      <c r="AA192" t="s">
        <v>191</v>
      </c>
    </row>
    <row r="193" spans="2:27" x14ac:dyDescent="0.35">
      <c r="B193" s="2">
        <v>45980</v>
      </c>
      <c r="C193" t="s">
        <v>171</v>
      </c>
      <c r="E193" t="s">
        <v>172</v>
      </c>
      <c r="F193">
        <v>71</v>
      </c>
      <c r="G193" s="3" t="s">
        <v>174</v>
      </c>
      <c r="H193" t="s">
        <v>16</v>
      </c>
      <c r="I193" t="s">
        <v>188</v>
      </c>
      <c r="J193">
        <v>4</v>
      </c>
      <c r="M193" t="s">
        <v>180</v>
      </c>
      <c r="N193" t="s">
        <v>20</v>
      </c>
      <c r="O193">
        <v>190</v>
      </c>
      <c r="Q193">
        <v>187</v>
      </c>
      <c r="AA193" t="s">
        <v>191</v>
      </c>
    </row>
    <row r="194" spans="2:27" x14ac:dyDescent="0.35">
      <c r="B194" s="2">
        <v>45980</v>
      </c>
      <c r="C194" t="s">
        <v>171</v>
      </c>
      <c r="E194" t="s">
        <v>172</v>
      </c>
      <c r="F194">
        <v>70</v>
      </c>
      <c r="G194" s="3" t="s">
        <v>174</v>
      </c>
      <c r="H194" t="s">
        <v>16</v>
      </c>
      <c r="I194" t="s">
        <v>188</v>
      </c>
      <c r="J194">
        <v>5</v>
      </c>
      <c r="M194" t="s">
        <v>180</v>
      </c>
      <c r="N194" t="s">
        <v>21</v>
      </c>
      <c r="O194">
        <v>191</v>
      </c>
      <c r="Q194">
        <v>188</v>
      </c>
      <c r="AA194" t="s">
        <v>191</v>
      </c>
    </row>
    <row r="195" spans="2:27" x14ac:dyDescent="0.35">
      <c r="B195" s="2">
        <v>45980</v>
      </c>
      <c r="C195" t="s">
        <v>171</v>
      </c>
      <c r="E195" t="s">
        <v>172</v>
      </c>
      <c r="F195">
        <v>59</v>
      </c>
      <c r="G195" s="3" t="s">
        <v>174</v>
      </c>
      <c r="H195" t="s">
        <v>16</v>
      </c>
      <c r="I195" t="s">
        <v>188</v>
      </c>
      <c r="J195">
        <v>6</v>
      </c>
      <c r="M195" t="s">
        <v>180</v>
      </c>
      <c r="N195" t="s">
        <v>22</v>
      </c>
      <c r="O195">
        <v>192</v>
      </c>
      <c r="Q195">
        <v>189</v>
      </c>
      <c r="AA195" t="s">
        <v>191</v>
      </c>
    </row>
    <row r="196" spans="2:27" x14ac:dyDescent="0.35">
      <c r="B196" s="2">
        <v>45980</v>
      </c>
      <c r="C196" t="s">
        <v>171</v>
      </c>
      <c r="E196" t="s">
        <v>172</v>
      </c>
      <c r="F196">
        <v>73</v>
      </c>
      <c r="G196" s="3" t="s">
        <v>174</v>
      </c>
      <c r="H196" t="s">
        <v>16</v>
      </c>
      <c r="I196" t="s">
        <v>188</v>
      </c>
      <c r="J196">
        <v>7</v>
      </c>
      <c r="M196" t="s">
        <v>180</v>
      </c>
      <c r="N196" t="s">
        <v>23</v>
      </c>
      <c r="O196">
        <v>193</v>
      </c>
      <c r="Q196">
        <v>190</v>
      </c>
      <c r="AA196" t="s">
        <v>191</v>
      </c>
    </row>
    <row r="197" spans="2:27" x14ac:dyDescent="0.35">
      <c r="B197" s="2">
        <v>45980</v>
      </c>
      <c r="C197" t="s">
        <v>171</v>
      </c>
      <c r="E197" t="s">
        <v>172</v>
      </c>
      <c r="F197">
        <v>71</v>
      </c>
      <c r="G197" s="3" t="s">
        <v>174</v>
      </c>
      <c r="H197" t="s">
        <v>16</v>
      </c>
      <c r="I197" t="s">
        <v>188</v>
      </c>
      <c r="J197">
        <v>8</v>
      </c>
      <c r="M197" t="s">
        <v>180</v>
      </c>
      <c r="N197" t="s">
        <v>24</v>
      </c>
      <c r="O197">
        <v>194</v>
      </c>
      <c r="Q197">
        <v>191</v>
      </c>
      <c r="AA197" t="s">
        <v>191</v>
      </c>
    </row>
    <row r="198" spans="2:27" x14ac:dyDescent="0.35">
      <c r="B198" s="2">
        <v>45980</v>
      </c>
      <c r="C198" t="s">
        <v>171</v>
      </c>
      <c r="E198" t="s">
        <v>172</v>
      </c>
      <c r="F198">
        <v>61</v>
      </c>
      <c r="G198" s="3" t="s">
        <v>174</v>
      </c>
      <c r="H198" t="s">
        <v>40</v>
      </c>
      <c r="I198" t="s">
        <v>188</v>
      </c>
      <c r="J198">
        <v>9</v>
      </c>
      <c r="M198" t="s">
        <v>180</v>
      </c>
      <c r="N198" t="s">
        <v>25</v>
      </c>
      <c r="O198">
        <v>195</v>
      </c>
      <c r="Q198">
        <v>192</v>
      </c>
      <c r="AA198" t="s">
        <v>191</v>
      </c>
    </row>
    <row r="199" spans="2:27" x14ac:dyDescent="0.35">
      <c r="B199" s="2">
        <v>45980</v>
      </c>
      <c r="C199" t="s">
        <v>171</v>
      </c>
      <c r="E199" t="s">
        <v>172</v>
      </c>
      <c r="F199">
        <v>62</v>
      </c>
      <c r="G199" s="3" t="s">
        <v>174</v>
      </c>
      <c r="H199" t="s">
        <v>16</v>
      </c>
      <c r="I199" t="s">
        <v>188</v>
      </c>
      <c r="J199">
        <v>10</v>
      </c>
      <c r="M199" t="s">
        <v>180</v>
      </c>
      <c r="N199" t="s">
        <v>26</v>
      </c>
      <c r="O199">
        <v>196</v>
      </c>
      <c r="Q199">
        <v>193</v>
      </c>
      <c r="AA199" t="s">
        <v>191</v>
      </c>
    </row>
    <row r="200" spans="2:27" x14ac:dyDescent="0.35">
      <c r="B200" s="2">
        <v>45980</v>
      </c>
      <c r="C200" t="s">
        <v>171</v>
      </c>
      <c r="E200" t="s">
        <v>172</v>
      </c>
      <c r="F200">
        <v>70</v>
      </c>
      <c r="G200" s="3" t="s">
        <v>173</v>
      </c>
      <c r="H200" t="s">
        <v>16</v>
      </c>
      <c r="I200" t="s">
        <v>188</v>
      </c>
      <c r="J200">
        <v>11</v>
      </c>
      <c r="M200" t="s">
        <v>180</v>
      </c>
      <c r="N200" t="s">
        <v>27</v>
      </c>
      <c r="O200">
        <v>197</v>
      </c>
      <c r="Q200">
        <v>194</v>
      </c>
      <c r="AA200" t="s">
        <v>191</v>
      </c>
    </row>
    <row r="201" spans="2:27" x14ac:dyDescent="0.35">
      <c r="B201" s="2">
        <v>45980</v>
      </c>
      <c r="C201" t="s">
        <v>171</v>
      </c>
      <c r="E201" t="s">
        <v>172</v>
      </c>
      <c r="F201">
        <v>69</v>
      </c>
      <c r="G201" s="3" t="s">
        <v>173</v>
      </c>
      <c r="H201" t="s">
        <v>16</v>
      </c>
      <c r="I201" t="s">
        <v>188</v>
      </c>
      <c r="J201">
        <v>12</v>
      </c>
      <c r="M201" t="s">
        <v>180</v>
      </c>
      <c r="N201" t="s">
        <v>28</v>
      </c>
      <c r="O201">
        <v>198</v>
      </c>
      <c r="Q201">
        <v>195</v>
      </c>
      <c r="AA201" t="s">
        <v>191</v>
      </c>
    </row>
    <row r="202" spans="2:27" x14ac:dyDescent="0.35">
      <c r="B202" s="2">
        <v>45980</v>
      </c>
      <c r="C202" t="s">
        <v>171</v>
      </c>
      <c r="E202" t="s">
        <v>172</v>
      </c>
      <c r="F202">
        <v>74</v>
      </c>
      <c r="G202" s="3" t="s">
        <v>173</v>
      </c>
      <c r="H202" t="s">
        <v>16</v>
      </c>
      <c r="I202" t="s">
        <v>188</v>
      </c>
      <c r="J202">
        <v>13</v>
      </c>
      <c r="M202" t="s">
        <v>180</v>
      </c>
      <c r="N202" t="s">
        <v>29</v>
      </c>
      <c r="O202">
        <v>199</v>
      </c>
      <c r="Q202">
        <v>196</v>
      </c>
      <c r="AA202" t="s">
        <v>191</v>
      </c>
    </row>
    <row r="203" spans="2:27" x14ac:dyDescent="0.35">
      <c r="B203" s="2">
        <v>45980</v>
      </c>
      <c r="C203" t="s">
        <v>171</v>
      </c>
      <c r="E203" t="s">
        <v>172</v>
      </c>
      <c r="F203">
        <v>76</v>
      </c>
      <c r="G203" s="3" t="s">
        <v>173</v>
      </c>
      <c r="H203" t="s">
        <v>16</v>
      </c>
      <c r="I203" t="s">
        <v>188</v>
      </c>
      <c r="J203">
        <v>14</v>
      </c>
      <c r="M203" t="s">
        <v>180</v>
      </c>
      <c r="N203" t="s">
        <v>30</v>
      </c>
      <c r="O203">
        <v>200</v>
      </c>
      <c r="Q203">
        <v>197</v>
      </c>
      <c r="AA203" t="s">
        <v>191</v>
      </c>
    </row>
    <row r="204" spans="2:27" x14ac:dyDescent="0.35">
      <c r="B204" s="2">
        <v>45980</v>
      </c>
      <c r="C204" t="s">
        <v>171</v>
      </c>
      <c r="E204" t="s">
        <v>172</v>
      </c>
      <c r="F204">
        <v>70</v>
      </c>
      <c r="G204" s="3" t="s">
        <v>173</v>
      </c>
      <c r="H204" t="s">
        <v>16</v>
      </c>
      <c r="I204" t="s">
        <v>188</v>
      </c>
      <c r="J204">
        <v>15</v>
      </c>
      <c r="M204" t="s">
        <v>180</v>
      </c>
      <c r="N204" t="s">
        <v>31</v>
      </c>
      <c r="O204">
        <v>201</v>
      </c>
      <c r="Q204">
        <v>198</v>
      </c>
      <c r="AA204" t="s">
        <v>191</v>
      </c>
    </row>
    <row r="205" spans="2:27" x14ac:dyDescent="0.35">
      <c r="B205" s="2">
        <v>45980</v>
      </c>
      <c r="C205" t="s">
        <v>171</v>
      </c>
      <c r="E205" t="s">
        <v>172</v>
      </c>
      <c r="F205">
        <v>70</v>
      </c>
      <c r="G205" s="3" t="s">
        <v>173</v>
      </c>
      <c r="H205" t="s">
        <v>16</v>
      </c>
      <c r="I205" t="s">
        <v>188</v>
      </c>
      <c r="J205">
        <v>16</v>
      </c>
      <c r="M205" t="s">
        <v>180</v>
      </c>
      <c r="N205" t="s">
        <v>32</v>
      </c>
      <c r="O205">
        <v>202</v>
      </c>
      <c r="Q205">
        <v>199</v>
      </c>
      <c r="AA205" t="s">
        <v>191</v>
      </c>
    </row>
    <row r="206" spans="2:27" x14ac:dyDescent="0.35">
      <c r="B206" s="2">
        <v>45980</v>
      </c>
      <c r="C206" t="s">
        <v>171</v>
      </c>
      <c r="E206" t="s">
        <v>172</v>
      </c>
      <c r="F206">
        <v>76</v>
      </c>
      <c r="G206" s="3" t="s">
        <v>173</v>
      </c>
      <c r="H206" t="s">
        <v>16</v>
      </c>
      <c r="I206" t="s">
        <v>188</v>
      </c>
      <c r="J206">
        <v>17</v>
      </c>
      <c r="M206" t="s">
        <v>180</v>
      </c>
      <c r="N206" t="s">
        <v>33</v>
      </c>
      <c r="O206">
        <v>203</v>
      </c>
      <c r="Q206">
        <v>200</v>
      </c>
      <c r="AA206" t="s">
        <v>191</v>
      </c>
    </row>
    <row r="207" spans="2:27" x14ac:dyDescent="0.35">
      <c r="B207" s="2">
        <v>45980</v>
      </c>
      <c r="C207" t="s">
        <v>171</v>
      </c>
      <c r="E207" t="s">
        <v>172</v>
      </c>
      <c r="F207">
        <v>81</v>
      </c>
      <c r="G207" s="3" t="s">
        <v>173</v>
      </c>
      <c r="H207" t="s">
        <v>48</v>
      </c>
      <c r="I207" t="s">
        <v>188</v>
      </c>
      <c r="J207">
        <v>18</v>
      </c>
      <c r="M207" t="s">
        <v>180</v>
      </c>
      <c r="N207" t="s">
        <v>34</v>
      </c>
      <c r="O207" t="s">
        <v>190</v>
      </c>
      <c r="Q207">
        <v>201</v>
      </c>
      <c r="AA207" t="s">
        <v>191</v>
      </c>
    </row>
    <row r="208" spans="2:27" x14ac:dyDescent="0.35">
      <c r="B208" s="2">
        <v>45980</v>
      </c>
      <c r="C208" t="s">
        <v>171</v>
      </c>
      <c r="E208" t="s">
        <v>172</v>
      </c>
      <c r="F208">
        <v>79</v>
      </c>
      <c r="G208" s="3" t="s">
        <v>173</v>
      </c>
      <c r="H208" t="s">
        <v>16</v>
      </c>
      <c r="I208" t="s">
        <v>189</v>
      </c>
      <c r="J208">
        <v>1</v>
      </c>
      <c r="M208" t="s">
        <v>180</v>
      </c>
      <c r="N208" t="s">
        <v>35</v>
      </c>
      <c r="O208">
        <v>204</v>
      </c>
      <c r="Q208">
        <v>202</v>
      </c>
      <c r="AA208" t="s">
        <v>181</v>
      </c>
    </row>
    <row r="209" spans="2:27" x14ac:dyDescent="0.35">
      <c r="B209" s="2">
        <v>45980</v>
      </c>
      <c r="C209" t="s">
        <v>171</v>
      </c>
      <c r="E209" t="s">
        <v>172</v>
      </c>
      <c r="F209">
        <v>70</v>
      </c>
      <c r="G209" s="3" t="s">
        <v>173</v>
      </c>
      <c r="H209" t="s">
        <v>16</v>
      </c>
      <c r="I209" t="s">
        <v>189</v>
      </c>
      <c r="J209">
        <v>2</v>
      </c>
      <c r="M209" t="s">
        <v>180</v>
      </c>
      <c r="N209" t="s">
        <v>36</v>
      </c>
      <c r="O209">
        <v>205</v>
      </c>
      <c r="Q209">
        <v>203</v>
      </c>
      <c r="AA209" t="s">
        <v>181</v>
      </c>
    </row>
    <row r="210" spans="2:27" x14ac:dyDescent="0.35">
      <c r="B210" s="2">
        <v>45980</v>
      </c>
      <c r="C210" t="s">
        <v>171</v>
      </c>
      <c r="E210" t="s">
        <v>172</v>
      </c>
      <c r="F210">
        <v>72</v>
      </c>
      <c r="G210" s="3" t="s">
        <v>173</v>
      </c>
      <c r="H210" t="s">
        <v>16</v>
      </c>
      <c r="I210" t="s">
        <v>189</v>
      </c>
      <c r="J210">
        <v>3</v>
      </c>
      <c r="M210" t="s">
        <v>180</v>
      </c>
      <c r="N210" t="s">
        <v>37</v>
      </c>
      <c r="O210">
        <v>206</v>
      </c>
      <c r="Q210">
        <v>204</v>
      </c>
      <c r="AA210" t="s">
        <v>181</v>
      </c>
    </row>
    <row r="211" spans="2:27" x14ac:dyDescent="0.35">
      <c r="B211" s="2">
        <v>45980</v>
      </c>
      <c r="C211" t="s">
        <v>171</v>
      </c>
      <c r="E211" t="s">
        <v>172</v>
      </c>
      <c r="F211">
        <v>68</v>
      </c>
      <c r="G211" s="3" t="s">
        <v>173</v>
      </c>
      <c r="H211" t="s">
        <v>16</v>
      </c>
      <c r="I211" t="s">
        <v>189</v>
      </c>
      <c r="J211">
        <v>4</v>
      </c>
      <c r="M211" t="s">
        <v>180</v>
      </c>
      <c r="N211" t="s">
        <v>38</v>
      </c>
      <c r="O211">
        <v>207</v>
      </c>
      <c r="Q211">
        <v>205</v>
      </c>
      <c r="AA211" t="s">
        <v>181</v>
      </c>
    </row>
    <row r="212" spans="2:27" x14ac:dyDescent="0.35">
      <c r="B212" s="2">
        <v>45980</v>
      </c>
      <c r="C212" t="s">
        <v>171</v>
      </c>
      <c r="E212" t="s">
        <v>172</v>
      </c>
      <c r="F212">
        <v>75</v>
      </c>
      <c r="G212" s="3" t="s">
        <v>173</v>
      </c>
      <c r="H212" t="s">
        <v>16</v>
      </c>
      <c r="I212" t="s">
        <v>189</v>
      </c>
      <c r="J212">
        <v>5</v>
      </c>
      <c r="M212" t="s">
        <v>180</v>
      </c>
      <c r="N212" t="s">
        <v>39</v>
      </c>
      <c r="O212">
        <v>208</v>
      </c>
      <c r="Q212">
        <v>206</v>
      </c>
      <c r="AA212" t="s">
        <v>181</v>
      </c>
    </row>
    <row r="213" spans="2:27" x14ac:dyDescent="0.35">
      <c r="B213" s="2">
        <v>45980</v>
      </c>
      <c r="C213" t="s">
        <v>171</v>
      </c>
      <c r="E213" t="s">
        <v>172</v>
      </c>
      <c r="F213">
        <v>67</v>
      </c>
      <c r="G213" s="3" t="s">
        <v>173</v>
      </c>
      <c r="H213" t="s">
        <v>16</v>
      </c>
      <c r="I213" t="s">
        <v>189</v>
      </c>
      <c r="J213">
        <v>6</v>
      </c>
      <c r="M213" t="s">
        <v>180</v>
      </c>
      <c r="N213" t="s">
        <v>41</v>
      </c>
      <c r="O213">
        <v>209</v>
      </c>
      <c r="Q213">
        <v>207</v>
      </c>
      <c r="AA213" t="s">
        <v>181</v>
      </c>
    </row>
    <row r="214" spans="2:27" x14ac:dyDescent="0.35">
      <c r="B214" s="2">
        <v>45980</v>
      </c>
      <c r="C214" t="s">
        <v>171</v>
      </c>
      <c r="E214" t="s">
        <v>172</v>
      </c>
      <c r="F214">
        <v>67</v>
      </c>
      <c r="G214" s="3" t="s">
        <v>173</v>
      </c>
      <c r="H214" t="s">
        <v>16</v>
      </c>
      <c r="I214" t="s">
        <v>189</v>
      </c>
      <c r="J214">
        <v>7</v>
      </c>
      <c r="M214" t="s">
        <v>180</v>
      </c>
      <c r="N214" t="s">
        <v>42</v>
      </c>
      <c r="O214">
        <v>210</v>
      </c>
      <c r="Q214">
        <v>208</v>
      </c>
      <c r="AA214" t="s">
        <v>181</v>
      </c>
    </row>
    <row r="215" spans="2:27" x14ac:dyDescent="0.35">
      <c r="B215" s="2">
        <v>45980</v>
      </c>
      <c r="C215" t="s">
        <v>171</v>
      </c>
      <c r="E215" t="s">
        <v>172</v>
      </c>
      <c r="F215">
        <v>77</v>
      </c>
      <c r="G215" s="3" t="s">
        <v>173</v>
      </c>
      <c r="H215" t="s">
        <v>16</v>
      </c>
      <c r="I215" t="s">
        <v>189</v>
      </c>
      <c r="J215">
        <v>8</v>
      </c>
      <c r="M215" t="s">
        <v>180</v>
      </c>
      <c r="N215" t="s">
        <v>43</v>
      </c>
      <c r="O215">
        <v>211</v>
      </c>
      <c r="Q215">
        <v>209</v>
      </c>
      <c r="AA215" t="s">
        <v>181</v>
      </c>
    </row>
    <row r="216" spans="2:27" x14ac:dyDescent="0.35">
      <c r="B216" s="2">
        <v>45980</v>
      </c>
      <c r="C216" t="s">
        <v>171</v>
      </c>
      <c r="E216" t="s">
        <v>172</v>
      </c>
      <c r="F216">
        <v>67</v>
      </c>
      <c r="G216" s="3" t="s">
        <v>173</v>
      </c>
      <c r="H216" t="s">
        <v>16</v>
      </c>
      <c r="I216" t="s">
        <v>189</v>
      </c>
      <c r="J216">
        <v>9</v>
      </c>
      <c r="M216" t="s">
        <v>180</v>
      </c>
      <c r="N216" t="s">
        <v>44</v>
      </c>
      <c r="O216">
        <v>212</v>
      </c>
      <c r="Q216">
        <v>210</v>
      </c>
      <c r="AA216" t="s">
        <v>181</v>
      </c>
    </row>
    <row r="217" spans="2:27" x14ac:dyDescent="0.35">
      <c r="B217" s="2">
        <v>45980</v>
      </c>
      <c r="C217" t="s">
        <v>171</v>
      </c>
      <c r="E217" t="s">
        <v>172</v>
      </c>
      <c r="F217">
        <v>75</v>
      </c>
      <c r="G217" s="3" t="s">
        <v>173</v>
      </c>
      <c r="H217" t="s">
        <v>16</v>
      </c>
      <c r="I217" t="s">
        <v>189</v>
      </c>
      <c r="J217">
        <v>10</v>
      </c>
      <c r="M217" t="s">
        <v>180</v>
      </c>
      <c r="N217" t="s">
        <v>45</v>
      </c>
      <c r="O217">
        <v>213</v>
      </c>
      <c r="Q217">
        <v>211</v>
      </c>
      <c r="AA217" t="s">
        <v>181</v>
      </c>
    </row>
    <row r="218" spans="2:27" x14ac:dyDescent="0.35">
      <c r="B218" s="2">
        <v>45980</v>
      </c>
      <c r="C218" t="s">
        <v>171</v>
      </c>
      <c r="E218" t="s">
        <v>172</v>
      </c>
      <c r="F218">
        <v>76</v>
      </c>
      <c r="G218" s="3" t="s">
        <v>174</v>
      </c>
      <c r="H218" t="s">
        <v>16</v>
      </c>
      <c r="I218" t="s">
        <v>189</v>
      </c>
      <c r="J218">
        <v>11</v>
      </c>
      <c r="M218" t="s">
        <v>180</v>
      </c>
      <c r="N218" t="s">
        <v>46</v>
      </c>
      <c r="O218">
        <v>214</v>
      </c>
      <c r="Q218">
        <v>212</v>
      </c>
      <c r="AA218" t="s">
        <v>181</v>
      </c>
    </row>
    <row r="219" spans="2:27" x14ac:dyDescent="0.35">
      <c r="B219" s="2">
        <v>45980</v>
      </c>
      <c r="C219" t="s">
        <v>171</v>
      </c>
      <c r="E219" t="s">
        <v>172</v>
      </c>
      <c r="F219">
        <v>74</v>
      </c>
      <c r="G219" s="3" t="s">
        <v>174</v>
      </c>
      <c r="H219" t="s">
        <v>16</v>
      </c>
      <c r="I219" t="s">
        <v>189</v>
      </c>
      <c r="J219">
        <v>12</v>
      </c>
      <c r="M219" t="s">
        <v>180</v>
      </c>
      <c r="N219" t="s">
        <v>47</v>
      </c>
      <c r="O219">
        <v>215</v>
      </c>
      <c r="Q219">
        <v>213</v>
      </c>
      <c r="AA219" t="s">
        <v>181</v>
      </c>
    </row>
    <row r="220" spans="2:27" x14ac:dyDescent="0.35">
      <c r="B220" s="2">
        <v>45980</v>
      </c>
      <c r="C220" t="s">
        <v>171</v>
      </c>
      <c r="E220" t="s">
        <v>172</v>
      </c>
      <c r="F220">
        <v>73</v>
      </c>
      <c r="G220" s="3" t="s">
        <v>174</v>
      </c>
      <c r="H220" t="s">
        <v>16</v>
      </c>
      <c r="I220" t="s">
        <v>189</v>
      </c>
      <c r="J220">
        <v>13</v>
      </c>
      <c r="M220" t="s">
        <v>180</v>
      </c>
      <c r="N220" t="s">
        <v>17</v>
      </c>
      <c r="O220">
        <v>216</v>
      </c>
      <c r="Q220">
        <v>214</v>
      </c>
      <c r="AA220" t="s">
        <v>181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AEEA-39CF-4C6A-BA66-9E8DC23BA85E}">
  <dimension ref="A2:M46"/>
  <sheetViews>
    <sheetView workbookViewId="0">
      <selection activeCell="B7" sqref="B7"/>
    </sheetView>
  </sheetViews>
  <sheetFormatPr defaultRowHeight="14.5" x14ac:dyDescent="0.35"/>
  <cols>
    <col min="1" max="1" width="17.81640625" bestFit="1" customWidth="1"/>
    <col min="2" max="3" width="8.26953125" customWidth="1"/>
    <col min="4" max="4" width="10.453125" customWidth="1"/>
    <col min="5" max="5" width="8.26953125" customWidth="1"/>
    <col min="6" max="6" width="10.36328125" bestFit="1" customWidth="1"/>
    <col min="7" max="8" width="8.54296875" customWidth="1"/>
    <col min="9" max="9" width="6.7265625" bestFit="1" customWidth="1"/>
    <col min="10" max="10" width="10.36328125" bestFit="1" customWidth="1"/>
  </cols>
  <sheetData>
    <row r="2" spans="1:13" x14ac:dyDescent="0.35">
      <c r="J2" t="s">
        <v>0</v>
      </c>
      <c r="K2" t="s">
        <v>242</v>
      </c>
      <c r="L2" t="s">
        <v>243</v>
      </c>
    </row>
    <row r="3" spans="1:13" x14ac:dyDescent="0.35">
      <c r="A3" s="8" t="s">
        <v>238</v>
      </c>
      <c r="B3" s="8" t="s">
        <v>237</v>
      </c>
      <c r="J3" s="13">
        <v>45971</v>
      </c>
      <c r="K3">
        <v>12</v>
      </c>
      <c r="L3">
        <v>27282</v>
      </c>
      <c r="M3" s="14">
        <f>L3/K3</f>
        <v>2273.5</v>
      </c>
    </row>
    <row r="4" spans="1:13" x14ac:dyDescent="0.35">
      <c r="A4" s="8" t="s">
        <v>235</v>
      </c>
      <c r="B4" s="12" t="s">
        <v>174</v>
      </c>
      <c r="C4" s="12" t="s">
        <v>173</v>
      </c>
      <c r="D4" s="12" t="s">
        <v>236</v>
      </c>
      <c r="K4">
        <v>21</v>
      </c>
      <c r="L4">
        <v>49999</v>
      </c>
      <c r="M4" s="14">
        <f t="shared" ref="M4:M5" si="0">L4/K4</f>
        <v>2380.9047619047619</v>
      </c>
    </row>
    <row r="5" spans="1:13" x14ac:dyDescent="0.35">
      <c r="A5" s="9">
        <v>45966</v>
      </c>
      <c r="B5" s="11">
        <v>2</v>
      </c>
      <c r="C5" s="11">
        <v>3</v>
      </c>
      <c r="D5" s="11">
        <v>5</v>
      </c>
      <c r="K5">
        <v>40</v>
      </c>
      <c r="L5">
        <v>93318</v>
      </c>
      <c r="M5" s="14">
        <f t="shared" si="0"/>
        <v>2332.9499999999998</v>
      </c>
    </row>
    <row r="6" spans="1:13" x14ac:dyDescent="0.35">
      <c r="A6" s="9">
        <v>45971</v>
      </c>
      <c r="B6" s="11">
        <v>13</v>
      </c>
      <c r="C6" s="11">
        <v>13</v>
      </c>
      <c r="D6" s="11">
        <v>26</v>
      </c>
    </row>
    <row r="7" spans="1:13" x14ac:dyDescent="0.35">
      <c r="A7" s="9">
        <v>45973</v>
      </c>
      <c r="B7" s="11">
        <v>21</v>
      </c>
      <c r="C7" s="11">
        <v>22</v>
      </c>
      <c r="D7" s="11">
        <v>43</v>
      </c>
    </row>
    <row r="8" spans="1:13" x14ac:dyDescent="0.35">
      <c r="A8" s="9">
        <v>45978</v>
      </c>
      <c r="B8" s="11">
        <v>43</v>
      </c>
      <c r="C8" s="11">
        <v>55</v>
      </c>
      <c r="D8" s="11">
        <v>98</v>
      </c>
    </row>
    <row r="9" spans="1:13" x14ac:dyDescent="0.35">
      <c r="A9" s="9">
        <v>45979</v>
      </c>
      <c r="B9" s="11">
        <v>8</v>
      </c>
      <c r="C9" s="11">
        <v>8</v>
      </c>
      <c r="D9" s="11">
        <v>16</v>
      </c>
    </row>
    <row r="10" spans="1:13" x14ac:dyDescent="0.35">
      <c r="A10" s="9">
        <v>45980</v>
      </c>
      <c r="B10" s="11">
        <v>13</v>
      </c>
      <c r="C10" s="11">
        <v>18</v>
      </c>
      <c r="D10" s="11">
        <v>31</v>
      </c>
    </row>
    <row r="11" spans="1:13" x14ac:dyDescent="0.35">
      <c r="A11" s="10" t="s">
        <v>236</v>
      </c>
      <c r="B11" s="11">
        <v>100</v>
      </c>
      <c r="C11" s="11">
        <v>119</v>
      </c>
      <c r="D11" s="11">
        <v>219</v>
      </c>
    </row>
    <row r="15" spans="1:13" x14ac:dyDescent="0.35">
      <c r="A15" s="8" t="s">
        <v>239</v>
      </c>
      <c r="B15" s="8" t="s">
        <v>237</v>
      </c>
    </row>
    <row r="16" spans="1:13" x14ac:dyDescent="0.35">
      <c r="B16" s="12" t="s">
        <v>16</v>
      </c>
      <c r="C16" s="12"/>
      <c r="D16" s="12" t="s">
        <v>40</v>
      </c>
      <c r="E16" s="12" t="s">
        <v>48</v>
      </c>
      <c r="F16" s="12"/>
      <c r="G16" s="12" t="s">
        <v>49</v>
      </c>
      <c r="H16" s="12" t="s">
        <v>236</v>
      </c>
    </row>
    <row r="17" spans="1:8" x14ac:dyDescent="0.35">
      <c r="A17" s="8" t="s">
        <v>235</v>
      </c>
      <c r="B17" s="12" t="s">
        <v>174</v>
      </c>
      <c r="C17" s="12" t="s">
        <v>173</v>
      </c>
      <c r="D17" s="12" t="s">
        <v>174</v>
      </c>
      <c r="E17" s="12" t="s">
        <v>174</v>
      </c>
      <c r="F17" s="12" t="s">
        <v>173</v>
      </c>
      <c r="G17" s="12" t="s">
        <v>173</v>
      </c>
      <c r="H17" s="12"/>
    </row>
    <row r="18" spans="1:8" x14ac:dyDescent="0.35">
      <c r="A18" s="9">
        <v>45966</v>
      </c>
      <c r="B18" s="11"/>
      <c r="C18" s="11"/>
      <c r="D18" s="11"/>
      <c r="E18" s="11">
        <v>2</v>
      </c>
      <c r="F18" s="11">
        <v>3</v>
      </c>
      <c r="G18" s="11"/>
      <c r="H18" s="11">
        <v>5</v>
      </c>
    </row>
    <row r="19" spans="1:8" x14ac:dyDescent="0.35">
      <c r="A19" s="9">
        <v>45971</v>
      </c>
      <c r="B19" s="11">
        <v>12</v>
      </c>
      <c r="C19" s="11">
        <v>12</v>
      </c>
      <c r="D19" s="11"/>
      <c r="E19" s="11">
        <v>1</v>
      </c>
      <c r="F19" s="11">
        <v>1</v>
      </c>
      <c r="G19" s="11"/>
      <c r="H19" s="11">
        <v>26</v>
      </c>
    </row>
    <row r="20" spans="1:8" x14ac:dyDescent="0.35">
      <c r="A20" s="9">
        <v>45973</v>
      </c>
      <c r="B20" s="11">
        <v>21</v>
      </c>
      <c r="C20" s="11">
        <v>21</v>
      </c>
      <c r="D20" s="11"/>
      <c r="E20" s="11"/>
      <c r="F20" s="11"/>
      <c r="G20" s="11">
        <v>1</v>
      </c>
      <c r="H20" s="11">
        <v>43</v>
      </c>
    </row>
    <row r="21" spans="1:8" x14ac:dyDescent="0.35">
      <c r="A21" s="9">
        <v>45978</v>
      </c>
      <c r="B21" s="11">
        <v>40</v>
      </c>
      <c r="C21" s="11">
        <v>42</v>
      </c>
      <c r="D21" s="11">
        <v>2</v>
      </c>
      <c r="E21" s="11">
        <v>1</v>
      </c>
      <c r="F21" s="11">
        <v>1</v>
      </c>
      <c r="G21" s="11">
        <v>12</v>
      </c>
      <c r="H21" s="11">
        <v>98</v>
      </c>
    </row>
    <row r="22" spans="1:8" x14ac:dyDescent="0.35">
      <c r="A22" s="9">
        <v>45979</v>
      </c>
      <c r="B22" s="11">
        <v>8</v>
      </c>
      <c r="C22" s="11">
        <v>8</v>
      </c>
      <c r="D22" s="11"/>
      <c r="E22" s="11"/>
      <c r="F22" s="11"/>
      <c r="G22" s="11"/>
      <c r="H22" s="11">
        <v>16</v>
      </c>
    </row>
    <row r="23" spans="1:8" x14ac:dyDescent="0.35">
      <c r="A23" s="9">
        <v>45980</v>
      </c>
      <c r="B23" s="11">
        <v>12</v>
      </c>
      <c r="C23" s="11">
        <v>17</v>
      </c>
      <c r="D23" s="11">
        <v>1</v>
      </c>
      <c r="E23" s="11"/>
      <c r="F23" s="11">
        <v>1</v>
      </c>
      <c r="G23" s="11"/>
      <c r="H23" s="11">
        <v>31</v>
      </c>
    </row>
    <row r="24" spans="1:8" x14ac:dyDescent="0.35">
      <c r="A24" s="10" t="s">
        <v>236</v>
      </c>
      <c r="B24" s="11">
        <v>93</v>
      </c>
      <c r="C24" s="11">
        <v>100</v>
      </c>
      <c r="D24" s="11">
        <v>3</v>
      </c>
      <c r="E24" s="11">
        <v>4</v>
      </c>
      <c r="F24" s="11">
        <v>6</v>
      </c>
      <c r="G24" s="11">
        <v>13</v>
      </c>
      <c r="H24" s="11">
        <v>219</v>
      </c>
    </row>
    <row r="27" spans="1:8" x14ac:dyDescent="0.35">
      <c r="A27" s="8" t="s">
        <v>240</v>
      </c>
      <c r="B27" s="8" t="s">
        <v>237</v>
      </c>
      <c r="F27" s="8" t="s">
        <v>235</v>
      </c>
      <c r="G27" s="12" t="s">
        <v>241</v>
      </c>
    </row>
    <row r="28" spans="1:8" x14ac:dyDescent="0.35">
      <c r="A28" s="8" t="s">
        <v>235</v>
      </c>
      <c r="B28" t="s">
        <v>180</v>
      </c>
      <c r="C28" s="12" t="s">
        <v>236</v>
      </c>
      <c r="F28" s="9">
        <v>45966</v>
      </c>
      <c r="G28" s="11">
        <v>5</v>
      </c>
    </row>
    <row r="29" spans="1:8" x14ac:dyDescent="0.35">
      <c r="A29" s="9">
        <v>45966</v>
      </c>
      <c r="B29" s="11">
        <v>5</v>
      </c>
      <c r="C29" s="11">
        <v>5</v>
      </c>
      <c r="F29" s="9">
        <v>45971</v>
      </c>
      <c r="G29" s="11">
        <v>26</v>
      </c>
    </row>
    <row r="30" spans="1:8" x14ac:dyDescent="0.35">
      <c r="A30" s="9">
        <v>45971</v>
      </c>
      <c r="B30" s="11">
        <v>26</v>
      </c>
      <c r="C30" s="11">
        <v>26</v>
      </c>
      <c r="F30" s="9">
        <v>45973</v>
      </c>
      <c r="G30" s="11">
        <v>43</v>
      </c>
    </row>
    <row r="31" spans="1:8" x14ac:dyDescent="0.35">
      <c r="A31" s="9">
        <v>45973</v>
      </c>
      <c r="B31" s="11">
        <v>43</v>
      </c>
      <c r="C31" s="11">
        <v>43</v>
      </c>
      <c r="F31" s="9">
        <v>45978</v>
      </c>
      <c r="G31" s="11">
        <v>98</v>
      </c>
    </row>
    <row r="32" spans="1:8" x14ac:dyDescent="0.35">
      <c r="A32" s="9">
        <v>45978</v>
      </c>
      <c r="B32" s="11">
        <v>98</v>
      </c>
      <c r="C32" s="11">
        <v>98</v>
      </c>
      <c r="F32" s="9">
        <v>45979</v>
      </c>
      <c r="G32" s="11">
        <v>16</v>
      </c>
    </row>
    <row r="33" spans="1:7" x14ac:dyDescent="0.35">
      <c r="A33" s="9">
        <v>45979</v>
      </c>
      <c r="B33" s="11">
        <v>16</v>
      </c>
      <c r="C33" s="11">
        <v>16</v>
      </c>
      <c r="F33" s="9">
        <v>45980</v>
      </c>
      <c r="G33" s="11">
        <v>31</v>
      </c>
    </row>
    <row r="34" spans="1:7" x14ac:dyDescent="0.35">
      <c r="A34" s="9">
        <v>45980</v>
      </c>
      <c r="B34" s="11">
        <v>31</v>
      </c>
      <c r="C34" s="11">
        <v>31</v>
      </c>
      <c r="F34" s="10" t="s">
        <v>236</v>
      </c>
      <c r="G34" s="11">
        <v>219</v>
      </c>
    </row>
    <row r="35" spans="1:7" x14ac:dyDescent="0.35">
      <c r="A35" s="10" t="s">
        <v>236</v>
      </c>
      <c r="B35" s="11">
        <v>219</v>
      </c>
      <c r="C35" s="11">
        <v>219</v>
      </c>
    </row>
    <row r="38" spans="1:7" x14ac:dyDescent="0.35">
      <c r="A38" s="8" t="s">
        <v>244</v>
      </c>
      <c r="B38" s="8" t="s">
        <v>237</v>
      </c>
    </row>
    <row r="39" spans="1:7" x14ac:dyDescent="0.35">
      <c r="A39" s="8" t="s">
        <v>235</v>
      </c>
      <c r="B39" t="s">
        <v>181</v>
      </c>
      <c r="C39" t="s">
        <v>191</v>
      </c>
      <c r="D39" t="s">
        <v>193</v>
      </c>
      <c r="E39" s="12" t="s">
        <v>236</v>
      </c>
    </row>
    <row r="40" spans="1:7" x14ac:dyDescent="0.35">
      <c r="A40" s="9">
        <v>45966</v>
      </c>
      <c r="B40" s="11">
        <v>5</v>
      </c>
      <c r="C40" s="11"/>
      <c r="D40" s="11"/>
      <c r="E40" s="11">
        <v>5</v>
      </c>
    </row>
    <row r="41" spans="1:7" x14ac:dyDescent="0.35">
      <c r="A41" s="9">
        <v>45971</v>
      </c>
      <c r="B41" s="11"/>
      <c r="C41" s="11">
        <v>26</v>
      </c>
      <c r="D41" s="11"/>
      <c r="E41" s="11">
        <v>26</v>
      </c>
    </row>
    <row r="42" spans="1:7" x14ac:dyDescent="0.35">
      <c r="A42" s="9">
        <v>45973</v>
      </c>
      <c r="B42" s="11">
        <v>11</v>
      </c>
      <c r="C42" s="11">
        <v>32</v>
      </c>
      <c r="D42" s="11"/>
      <c r="E42" s="11">
        <v>43</v>
      </c>
    </row>
    <row r="43" spans="1:7" x14ac:dyDescent="0.35">
      <c r="A43" s="9">
        <v>45978</v>
      </c>
      <c r="B43" s="11">
        <v>28</v>
      </c>
      <c r="C43" s="11">
        <v>56</v>
      </c>
      <c r="D43" s="11">
        <v>14</v>
      </c>
      <c r="E43" s="11">
        <v>98</v>
      </c>
    </row>
    <row r="44" spans="1:7" x14ac:dyDescent="0.35">
      <c r="A44" s="9">
        <v>45979</v>
      </c>
      <c r="B44" s="11"/>
      <c r="C44" s="11">
        <v>16</v>
      </c>
      <c r="D44" s="11"/>
      <c r="E44" s="11">
        <v>16</v>
      </c>
    </row>
    <row r="45" spans="1:7" x14ac:dyDescent="0.35">
      <c r="A45" s="9">
        <v>45980</v>
      </c>
      <c r="B45" s="11">
        <v>13</v>
      </c>
      <c r="C45" s="11">
        <v>18</v>
      </c>
      <c r="D45" s="11"/>
      <c r="E45" s="11">
        <v>31</v>
      </c>
    </row>
    <row r="46" spans="1:7" x14ac:dyDescent="0.35">
      <c r="A46" s="10" t="s">
        <v>236</v>
      </c>
      <c r="B46" s="11">
        <v>57</v>
      </c>
      <c r="C46" s="11">
        <v>148</v>
      </c>
      <c r="D46" s="11">
        <v>14</v>
      </c>
      <c r="E46" s="11">
        <v>219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chum 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Dymowska, Beata V (DFW)</dc:creator>
  <cp:lastModifiedBy>Dymowska, Beata V (DFW)</cp:lastModifiedBy>
  <dcterms:created xsi:type="dcterms:W3CDTF">2025-04-29T22:00:53Z</dcterms:created>
  <dcterms:modified xsi:type="dcterms:W3CDTF">2025-11-21T19:22:15Z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2025-05-01T17:41:55Z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f14e319d-54f2-44d5-a615-3078f8523e57</vt:lpwstr>
  </property>
  <property fmtid="{D5CDD505-2E9C-101B-9397-08002B2CF9AE}" pid="8" name="MSIP_Label_45011977-b912-4387-97a4-f4c94a801377_ContentBits">
    <vt:lpwstr>0</vt:lpwstr>
  </property>
</Properties>
</file>